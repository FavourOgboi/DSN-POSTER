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.5M" sheetId="1" r:id="rId4"/>
    <sheet state="visible" name="1M" sheetId="2" r:id="rId5"/>
    <sheet state="visible" name="1.5M" sheetId="3" r:id="rId6"/>
    <sheet state="visible" name="TEMP DATA 0.5M" sheetId="4" r:id="rId7"/>
    <sheet state="visible" name="TEMP DATA 1.0M" sheetId="5" r:id="rId8"/>
    <sheet state="visible" name="TEMP DATA 1.5M" sheetId="6" r:id="rId9"/>
  </sheets>
  <definedNames/>
  <calcPr/>
  <extLst>
    <ext uri="GoogleSheetsCustomDataVersion2">
      <go:sheetsCustomData xmlns:go="http://customooxmlschemas.google.com/" r:id="rId10" roundtripDataChecksum="+s7a/h+Xon8fmMUsSUNnj3m2ZhvsnmRwSu8HM+W1lzw="/>
    </ext>
  </extLst>
</workbook>
</file>

<file path=xl/sharedStrings.xml><?xml version="1.0" encoding="utf-8"?>
<sst xmlns="http://schemas.openxmlformats.org/spreadsheetml/2006/main" count="428" uniqueCount="69">
  <si>
    <t>NAME: TEBEREN JOSEPH</t>
  </si>
  <si>
    <t xml:space="preserve">PROJECT TOPIC: MACHINE LEARNING PREDICTION OF CORROSION RATE AND INHIBITION EFFICIENCY OF A GREEN INHIBITOR </t>
  </si>
  <si>
    <t>IN A MULTI PH AND MULTY TEMPERATURE CHEMICAL ENVIRONMENT.</t>
  </si>
  <si>
    <t>3 Hours (0.5M )</t>
  </si>
  <si>
    <t>Concentration (ppm)</t>
  </si>
  <si>
    <t>Initial Weight (g)</t>
  </si>
  <si>
    <t>Final Weight (g)</t>
  </si>
  <si>
    <t>Weight loss (g)</t>
  </si>
  <si>
    <t>Log Wl</t>
  </si>
  <si>
    <t>Weight loss (mg)</t>
  </si>
  <si>
    <t>IE (5)</t>
  </si>
  <si>
    <t>CR (mm/yr)</t>
  </si>
  <si>
    <t>Time</t>
  </si>
  <si>
    <t xml:space="preserve">         Control</t>
  </si>
  <si>
    <t>6 Hours (0.5M)</t>
  </si>
  <si>
    <t>Weight Loss (g)</t>
  </si>
  <si>
    <t>Weight Loss (mg)</t>
  </si>
  <si>
    <t>IE (%)</t>
  </si>
  <si>
    <t>9 Hours 0.5 M</t>
  </si>
  <si>
    <t>12 Hours 0.5M</t>
  </si>
  <si>
    <t>15Hours 0.5M</t>
  </si>
  <si>
    <t>3 Hours 1.0M</t>
  </si>
  <si>
    <t>CR (%)</t>
  </si>
  <si>
    <t>Time (hr)</t>
  </si>
  <si>
    <t>6 Hours 1.0M</t>
  </si>
  <si>
    <t>CR(mm/yr)</t>
  </si>
  <si>
    <t>9 Hours 1.0M</t>
  </si>
  <si>
    <t>12 Hours 1.0M</t>
  </si>
  <si>
    <t>Weight loss(g)</t>
  </si>
  <si>
    <t>Weight Loss(mg)</t>
  </si>
  <si>
    <t>15 Hours 1.0 M</t>
  </si>
  <si>
    <t>3 Hours 1.5 M</t>
  </si>
  <si>
    <t>6 Hours 1.5 M</t>
  </si>
  <si>
    <t>9 Hours 1.5 M</t>
  </si>
  <si>
    <t>12 Hours 1.5M</t>
  </si>
  <si>
    <t>15 Hours 1.5 M</t>
  </si>
  <si>
    <t>IE(%)</t>
  </si>
  <si>
    <t>6 Hours (0.5M) 30 deg C</t>
  </si>
  <si>
    <t>O</t>
  </si>
  <si>
    <t>T (K)</t>
  </si>
  <si>
    <t>1/T</t>
  </si>
  <si>
    <t>Log CR</t>
  </si>
  <si>
    <t>Log (CR/T)</t>
  </si>
  <si>
    <t>C/O</t>
  </si>
  <si>
    <t>Log C</t>
  </si>
  <si>
    <t>Log O</t>
  </si>
  <si>
    <t>Log[(0/1-0)]</t>
  </si>
  <si>
    <t>T K</t>
  </si>
  <si>
    <t xml:space="preserve">1/T </t>
  </si>
  <si>
    <t>6 Hours (0.5M) 40 deg C</t>
  </si>
  <si>
    <t>Log[(0/(1-0)]</t>
  </si>
  <si>
    <t>6 Hours (0.5M) 50 deg C</t>
  </si>
  <si>
    <t>T(K)</t>
  </si>
  <si>
    <t>Log [(0/(1-0)]</t>
  </si>
  <si>
    <t>6 Hours (0.5M) 60 deg C</t>
  </si>
  <si>
    <t>6 Hours (0.5M)70 deg C</t>
  </si>
  <si>
    <t>6 Hours 1.0 M 30 deg C</t>
  </si>
  <si>
    <t>6 Hours 1.0M 40 deg C</t>
  </si>
  <si>
    <t>6 Hours 1.0M  50 deg C</t>
  </si>
  <si>
    <t>1/T *1000</t>
  </si>
  <si>
    <t>6 Hours 1.0 M 60 deg C</t>
  </si>
  <si>
    <t>6 Hours 1.0M 70 deg C</t>
  </si>
  <si>
    <t>6 Hours 1.5 M 30 deg C</t>
  </si>
  <si>
    <t>T</t>
  </si>
  <si>
    <t>Log CR/T</t>
  </si>
  <si>
    <t>6 Hours 1.5M 40 deg C</t>
  </si>
  <si>
    <t xml:space="preserve">6 Hours 1.5M 50 deg C </t>
  </si>
  <si>
    <t>6 Hours 1.5 M 60 deg C</t>
  </si>
  <si>
    <t>6 Hours 1.5M 70 deg 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</si>
</sst>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0.000"/>
    <numFmt numFmtId="166" formatCode="0.0000"/>
  </numFmts>
  <fonts count="8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  <font>
      <b/>
      <sz val="12.0"/>
      <color theme="1"/>
      <name val="Times New Roman"/>
    </font>
    <font>
      <sz val="12.0"/>
      <color theme="1"/>
      <name val="Times New Roman"/>
    </font>
    <font>
      <sz val="11.0"/>
      <color theme="1"/>
      <name val="Calibri"/>
    </font>
    <font>
      <b/>
      <sz val="10.0"/>
      <color theme="1"/>
      <name val="Times New Roman"/>
    </font>
    <font>
      <b/>
      <sz val="11.0"/>
      <color theme="1"/>
      <name val="Times New Roman"/>
    </font>
  </fonts>
  <fills count="2">
    <fill>
      <patternFill patternType="none"/>
    </fill>
    <fill>
      <patternFill patternType="lightGray"/>
    </fill>
  </fills>
  <borders count="6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164" xfId="0" applyFont="1" applyNumberFormat="1"/>
    <xf borderId="1" fillId="0" fontId="6" numFmtId="0" xfId="0" applyAlignment="1" applyBorder="1" applyFont="1">
      <alignment shrinkToFit="0" vertical="center" wrapText="1"/>
    </xf>
    <xf borderId="2" fillId="0" fontId="6" numFmtId="0" xfId="0" applyAlignment="1" applyBorder="1" applyFont="1">
      <alignment shrinkToFit="0" vertical="center" wrapText="1"/>
    </xf>
    <xf borderId="3" fillId="0" fontId="6" numFmtId="0" xfId="0" applyAlignment="1" applyBorder="1" applyFont="1">
      <alignment shrinkToFit="0" vertical="center" wrapText="1"/>
    </xf>
    <xf borderId="0" fillId="0" fontId="6" numFmtId="0" xfId="0" applyAlignment="1" applyFont="1">
      <alignment shrinkToFit="0" vertical="center" wrapText="1"/>
    </xf>
    <xf borderId="4" fillId="0" fontId="4" numFmtId="0" xfId="0" applyAlignment="1" applyBorder="1" applyFont="1">
      <alignment shrinkToFit="0" vertical="center" wrapText="1"/>
    </xf>
    <xf borderId="5" fillId="0" fontId="4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shrinkToFit="0" vertical="center" wrapText="1"/>
    </xf>
    <xf borderId="2" fillId="0" fontId="4" numFmtId="0" xfId="0" applyAlignment="1" applyBorder="1" applyFont="1">
      <alignment shrinkToFit="0" vertical="center" wrapText="1"/>
    </xf>
    <xf borderId="0" fillId="0" fontId="1" numFmtId="10" xfId="0" applyFont="1" applyNumberFormat="1"/>
    <xf borderId="0" fillId="0" fontId="7" numFmtId="0" xfId="0" applyFont="1"/>
    <xf borderId="4" fillId="0" fontId="3" numFmtId="0" xfId="0" applyAlignment="1" applyBorder="1" applyFont="1">
      <alignment shrinkToFit="0" vertical="center" wrapText="1"/>
    </xf>
    <xf borderId="5" fillId="0" fontId="3" numFmtId="0" xfId="0" applyAlignment="1" applyBorder="1" applyFont="1">
      <alignment shrinkToFit="0" vertical="center" wrapText="1"/>
    </xf>
    <xf borderId="0" fillId="0" fontId="5" numFmtId="2" xfId="0" applyFont="1" applyNumberFormat="1"/>
    <xf borderId="0" fillId="0" fontId="5" numFmtId="165" xfId="0" applyFont="1" applyNumberFormat="1"/>
    <xf borderId="0" fillId="0" fontId="4" numFmtId="164" xfId="0" applyFont="1" applyNumberFormat="1"/>
    <xf borderId="0" fillId="0" fontId="4" numFmtId="2" xfId="0" applyFont="1" applyNumberFormat="1"/>
    <xf borderId="0" fillId="0" fontId="4" numFmtId="166" xfId="0" applyFont="1" applyNumberFormat="1"/>
    <xf borderId="1" fillId="0" fontId="3" numFmtId="0" xfId="0" applyAlignment="1" applyBorder="1" applyFont="1">
      <alignment shrinkToFit="0" vertical="center" wrapText="1"/>
    </xf>
    <xf borderId="2" fillId="0" fontId="3" numFmtId="0" xfId="0" applyAlignment="1" applyBorder="1" applyFont="1">
      <alignment shrinkToFit="0" vertical="center" wrapText="1"/>
    </xf>
    <xf borderId="3" fillId="0" fontId="3" numFmtId="0" xfId="0" applyAlignment="1" applyBorder="1" applyFont="1">
      <alignment shrinkToFit="0" vertical="center" wrapText="1"/>
    </xf>
    <xf borderId="0" fillId="0" fontId="4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57"/>
    <col customWidth="1" min="2" max="2" width="13.43"/>
    <col customWidth="1" min="3" max="3" width="20.71"/>
    <col customWidth="1" min="4" max="4" width="16.71"/>
    <col customWidth="1" min="5" max="5" width="19.43"/>
    <col customWidth="1" min="6" max="6" width="23.43"/>
    <col customWidth="1" min="7" max="26" width="8.71"/>
  </cols>
  <sheetData>
    <row r="1">
      <c r="A1" s="1" t="s">
        <v>0</v>
      </c>
    </row>
    <row r="2">
      <c r="A2" s="1" t="s">
        <v>1</v>
      </c>
    </row>
    <row r="3">
      <c r="B3" s="1" t="s">
        <v>2</v>
      </c>
    </row>
    <row r="6">
      <c r="A6" s="2" t="s">
        <v>3</v>
      </c>
    </row>
    <row r="8">
      <c r="A8" s="3" t="s">
        <v>4</v>
      </c>
      <c r="B8" s="3" t="s">
        <v>5</v>
      </c>
      <c r="C8" s="3" t="s">
        <v>6</v>
      </c>
      <c r="D8" s="3" t="s">
        <v>7</v>
      </c>
      <c r="E8" s="2" t="s">
        <v>8</v>
      </c>
      <c r="F8" s="3" t="s">
        <v>9</v>
      </c>
      <c r="G8" s="3" t="s">
        <v>10</v>
      </c>
      <c r="H8" s="3" t="s">
        <v>11</v>
      </c>
      <c r="I8" s="3" t="s">
        <v>12</v>
      </c>
      <c r="J8" s="2" t="s">
        <v>8</v>
      </c>
    </row>
    <row r="9">
      <c r="A9" s="4">
        <v>50.0</v>
      </c>
      <c r="B9" s="4">
        <v>6.81</v>
      </c>
      <c r="C9" s="4">
        <v>6.625</v>
      </c>
      <c r="D9" s="1">
        <f t="shared" ref="D9:D14" si="1">B9-C9</f>
        <v>0.185</v>
      </c>
      <c r="E9" s="1">
        <f t="shared" ref="E9:E14" si="2">-LOG10(D9)</f>
        <v>0.7328282716</v>
      </c>
      <c r="F9" s="1">
        <f t="shared" ref="F9:F14" si="3">D9*1000</f>
        <v>185</v>
      </c>
      <c r="G9" s="5">
        <f>(D14-D9)/(D14)*100</f>
        <v>26.29482072</v>
      </c>
      <c r="H9" s="5">
        <f t="shared" ref="H9:H14" si="4">(87.6*F9)/(3*17.2*7.8)</f>
        <v>40.2653548</v>
      </c>
      <c r="I9" s="1">
        <v>3.0</v>
      </c>
      <c r="J9" s="1">
        <f t="shared" ref="J9:J14" si="5">-LOG10(D9)</f>
        <v>0.7328282716</v>
      </c>
    </row>
    <row r="10">
      <c r="A10" s="4">
        <v>150.0</v>
      </c>
      <c r="B10" s="4">
        <v>6.206</v>
      </c>
      <c r="C10" s="4">
        <v>6.058</v>
      </c>
      <c r="D10" s="1">
        <f t="shared" si="1"/>
        <v>0.148</v>
      </c>
      <c r="E10" s="1">
        <f t="shared" si="2"/>
        <v>0.8297382846</v>
      </c>
      <c r="F10" s="1">
        <f t="shared" si="3"/>
        <v>148</v>
      </c>
      <c r="G10" s="5">
        <f>(D14-D10)/(D14)*100</f>
        <v>41.03585657</v>
      </c>
      <c r="H10" s="5">
        <f t="shared" si="4"/>
        <v>32.21228384</v>
      </c>
      <c r="I10" s="1">
        <v>6.0</v>
      </c>
      <c r="J10" s="1">
        <f t="shared" si="5"/>
        <v>0.8297382846</v>
      </c>
    </row>
    <row r="11">
      <c r="A11" s="4">
        <v>250.0</v>
      </c>
      <c r="B11" s="4">
        <v>5.854</v>
      </c>
      <c r="C11" s="4">
        <v>5.753</v>
      </c>
      <c r="D11" s="1">
        <f t="shared" si="1"/>
        <v>0.101</v>
      </c>
      <c r="E11" s="1">
        <f t="shared" si="2"/>
        <v>0.9956786262</v>
      </c>
      <c r="F11" s="1">
        <f t="shared" si="3"/>
        <v>101</v>
      </c>
      <c r="G11" s="5">
        <f>(D14-D11)/(D14)*100</f>
        <v>59.76095618</v>
      </c>
      <c r="H11" s="5">
        <f t="shared" si="4"/>
        <v>21.98270722</v>
      </c>
      <c r="I11" s="1">
        <v>9.0</v>
      </c>
      <c r="J11" s="1">
        <f t="shared" si="5"/>
        <v>0.9956786262</v>
      </c>
    </row>
    <row r="12">
      <c r="A12" s="4">
        <v>350.0</v>
      </c>
      <c r="B12" s="4">
        <v>6.264</v>
      </c>
      <c r="C12" s="4">
        <v>6.24</v>
      </c>
      <c r="D12" s="1">
        <f t="shared" si="1"/>
        <v>0.024</v>
      </c>
      <c r="E12" s="1">
        <f t="shared" si="2"/>
        <v>1.619788758</v>
      </c>
      <c r="F12" s="1">
        <f t="shared" si="3"/>
        <v>24</v>
      </c>
      <c r="G12" s="5">
        <f>(D14-D12)/(D14)*100</f>
        <v>90.43824701</v>
      </c>
      <c r="H12" s="5">
        <f t="shared" si="4"/>
        <v>5.223613596</v>
      </c>
      <c r="I12" s="1">
        <v>12.0</v>
      </c>
      <c r="J12" s="1">
        <f t="shared" si="5"/>
        <v>1.619788758</v>
      </c>
    </row>
    <row r="13">
      <c r="A13" s="4">
        <v>450.0</v>
      </c>
      <c r="B13" s="4">
        <v>7.21</v>
      </c>
      <c r="C13" s="4">
        <v>7.199</v>
      </c>
      <c r="D13" s="1">
        <f t="shared" si="1"/>
        <v>0.011</v>
      </c>
      <c r="E13" s="1">
        <f t="shared" si="2"/>
        <v>1.958607315</v>
      </c>
      <c r="F13" s="1">
        <f t="shared" si="3"/>
        <v>11</v>
      </c>
      <c r="G13" s="5">
        <f>(D14-D13)/(D14)*100</f>
        <v>95.61752988</v>
      </c>
      <c r="H13" s="5">
        <f t="shared" si="4"/>
        <v>2.394156231</v>
      </c>
      <c r="I13" s="1">
        <v>15.0</v>
      </c>
      <c r="J13" s="1">
        <f t="shared" si="5"/>
        <v>1.958607315</v>
      </c>
    </row>
    <row r="14">
      <c r="A14" s="4" t="s">
        <v>13</v>
      </c>
      <c r="B14" s="4">
        <v>7.476</v>
      </c>
      <c r="C14" s="4">
        <v>7.225</v>
      </c>
      <c r="D14" s="1">
        <f t="shared" si="1"/>
        <v>0.251</v>
      </c>
      <c r="E14" s="1">
        <f t="shared" si="2"/>
        <v>0.6003262785</v>
      </c>
      <c r="F14" s="1">
        <f t="shared" si="3"/>
        <v>251</v>
      </c>
      <c r="H14" s="5">
        <f t="shared" si="4"/>
        <v>54.63029219</v>
      </c>
      <c r="J14" s="1">
        <f t="shared" si="5"/>
        <v>0.6003262785</v>
      </c>
    </row>
    <row r="16">
      <c r="A16" s="2" t="s">
        <v>14</v>
      </c>
    </row>
    <row r="17">
      <c r="A17" s="2"/>
    </row>
    <row r="18">
      <c r="A18" s="6" t="s">
        <v>4</v>
      </c>
      <c r="B18" s="7" t="s">
        <v>5</v>
      </c>
      <c r="C18" s="7" t="s">
        <v>6</v>
      </c>
      <c r="D18" s="8" t="s">
        <v>15</v>
      </c>
      <c r="E18" s="2" t="s">
        <v>8</v>
      </c>
      <c r="F18" s="8" t="s">
        <v>16</v>
      </c>
      <c r="G18" s="8" t="s">
        <v>17</v>
      </c>
      <c r="H18" s="8" t="s">
        <v>11</v>
      </c>
      <c r="J18" s="9" t="s">
        <v>8</v>
      </c>
    </row>
    <row r="19">
      <c r="A19" s="10">
        <v>50.0</v>
      </c>
      <c r="B19" s="11">
        <v>7.177</v>
      </c>
      <c r="C19" s="11">
        <v>7.033</v>
      </c>
      <c r="D19" s="1">
        <f t="shared" ref="D19:D24" si="6">B19-C19</f>
        <v>0.144</v>
      </c>
      <c r="E19" s="1">
        <f t="shared" ref="E19:E24" si="7">-LOG10(D19)</f>
        <v>0.8416375079</v>
      </c>
      <c r="F19" s="1">
        <f t="shared" ref="F19:F24" si="8">D19*1000</f>
        <v>144</v>
      </c>
      <c r="G19" s="5">
        <f>(D24-D19)/(D24)*100</f>
        <v>32.71028037</v>
      </c>
      <c r="H19" s="5">
        <f t="shared" ref="H19:H24" si="9">(87.6*F19)/(6*17.2*7.8)</f>
        <v>15.67084079</v>
      </c>
      <c r="J19" s="1">
        <f t="shared" ref="J19:J24" si="10">-LOG10(D19)</f>
        <v>0.8416375079</v>
      </c>
    </row>
    <row r="20">
      <c r="A20" s="10">
        <v>150.0</v>
      </c>
      <c r="B20" s="11">
        <v>7.416</v>
      </c>
      <c r="C20" s="11">
        <v>7.284</v>
      </c>
      <c r="D20" s="1">
        <f t="shared" si="6"/>
        <v>0.132</v>
      </c>
      <c r="E20" s="1">
        <f t="shared" si="7"/>
        <v>0.8794260688</v>
      </c>
      <c r="F20" s="1">
        <f t="shared" si="8"/>
        <v>132</v>
      </c>
      <c r="G20" s="5">
        <f>(D24-D20)/(D24)*100</f>
        <v>38.31775701</v>
      </c>
      <c r="H20" s="5">
        <f t="shared" si="9"/>
        <v>14.36493739</v>
      </c>
      <c r="J20" s="1">
        <f t="shared" si="10"/>
        <v>0.8794260688</v>
      </c>
    </row>
    <row r="21" ht="15.75" customHeight="1">
      <c r="A21" s="10">
        <v>250.0</v>
      </c>
      <c r="B21" s="11">
        <v>7.095</v>
      </c>
      <c r="C21" s="11">
        <v>7.003</v>
      </c>
      <c r="D21" s="1">
        <f t="shared" si="6"/>
        <v>0.092</v>
      </c>
      <c r="E21" s="1">
        <f t="shared" si="7"/>
        <v>1.036212173</v>
      </c>
      <c r="F21" s="1">
        <f t="shared" si="8"/>
        <v>92</v>
      </c>
      <c r="G21" s="5">
        <f>(D24-D21)/(D24)*100</f>
        <v>57.00934579</v>
      </c>
      <c r="H21" s="5">
        <f t="shared" si="9"/>
        <v>10.01192606</v>
      </c>
      <c r="J21" s="1">
        <f t="shared" si="10"/>
        <v>1.036212173</v>
      </c>
    </row>
    <row r="22" ht="15.75" customHeight="1">
      <c r="A22" s="10">
        <v>350.0</v>
      </c>
      <c r="B22" s="11">
        <v>6.595</v>
      </c>
      <c r="C22" s="11">
        <v>6.558</v>
      </c>
      <c r="D22" s="1">
        <f t="shared" si="6"/>
        <v>0.037</v>
      </c>
      <c r="E22" s="1">
        <f t="shared" si="7"/>
        <v>1.431798276</v>
      </c>
      <c r="F22" s="1">
        <f t="shared" si="8"/>
        <v>37</v>
      </c>
      <c r="G22" s="5">
        <f>(D24-D22)/(D24)*100</f>
        <v>82.71028037</v>
      </c>
      <c r="H22" s="5">
        <f t="shared" si="9"/>
        <v>4.02653548</v>
      </c>
      <c r="J22" s="1">
        <f t="shared" si="10"/>
        <v>1.431798276</v>
      </c>
    </row>
    <row r="23" ht="15.75" customHeight="1">
      <c r="A23" s="10">
        <v>450.0</v>
      </c>
      <c r="B23" s="11">
        <v>6.2976</v>
      </c>
      <c r="C23" s="11">
        <v>6.278</v>
      </c>
      <c r="D23" s="1">
        <f t="shared" si="6"/>
        <v>0.0196</v>
      </c>
      <c r="E23" s="1">
        <f t="shared" si="7"/>
        <v>1.707743929</v>
      </c>
      <c r="F23" s="1">
        <f t="shared" si="8"/>
        <v>19.6</v>
      </c>
      <c r="G23" s="5">
        <f>(D24-D23)/(D24)*100</f>
        <v>90.8411215</v>
      </c>
      <c r="H23" s="5">
        <f t="shared" si="9"/>
        <v>2.132975552</v>
      </c>
      <c r="J23" s="1">
        <f t="shared" si="10"/>
        <v>1.707743929</v>
      </c>
    </row>
    <row r="24" ht="15.75" customHeight="1">
      <c r="A24" s="10" t="s">
        <v>13</v>
      </c>
      <c r="B24" s="11">
        <v>6.923</v>
      </c>
      <c r="C24" s="11">
        <v>6.709</v>
      </c>
      <c r="D24" s="1">
        <f t="shared" si="6"/>
        <v>0.214</v>
      </c>
      <c r="E24" s="1">
        <f t="shared" si="7"/>
        <v>0.6695862267</v>
      </c>
      <c r="F24" s="1">
        <f t="shared" si="8"/>
        <v>214</v>
      </c>
      <c r="H24" s="5">
        <f t="shared" si="9"/>
        <v>23.28861061</v>
      </c>
      <c r="J24" s="1">
        <f t="shared" si="10"/>
        <v>0.6695862267</v>
      </c>
    </row>
    <row r="25" ht="15.75" customHeight="1"/>
    <row r="26" ht="15.75" customHeight="1">
      <c r="A26" s="1" t="s">
        <v>18</v>
      </c>
    </row>
    <row r="27" ht="15.75" customHeight="1">
      <c r="A27" s="6" t="s">
        <v>4</v>
      </c>
      <c r="B27" s="7" t="s">
        <v>5</v>
      </c>
      <c r="C27" s="7" t="s">
        <v>6</v>
      </c>
      <c r="D27" s="8" t="s">
        <v>15</v>
      </c>
      <c r="E27" s="2" t="s">
        <v>8</v>
      </c>
      <c r="F27" s="8" t="s">
        <v>16</v>
      </c>
      <c r="G27" s="8" t="s">
        <v>17</v>
      </c>
      <c r="H27" s="8" t="s">
        <v>11</v>
      </c>
      <c r="J27" s="2" t="s">
        <v>8</v>
      </c>
    </row>
    <row r="28" ht="15.75" customHeight="1">
      <c r="A28" s="10">
        <v>50.0</v>
      </c>
      <c r="B28" s="11">
        <v>6.931</v>
      </c>
      <c r="C28" s="11">
        <v>6.717</v>
      </c>
      <c r="D28" s="1">
        <f t="shared" ref="D28:D33" si="11">B28-C28</f>
        <v>0.214</v>
      </c>
      <c r="E28" s="1">
        <f t="shared" ref="E28:E33" si="12">-LOG10(D28)</f>
        <v>0.6695862267</v>
      </c>
      <c r="F28" s="1">
        <f t="shared" ref="F28:F33" si="13">D28*1000</f>
        <v>214</v>
      </c>
      <c r="G28" s="5">
        <f>(D33-D28)/(D33)*100</f>
        <v>29.13907285</v>
      </c>
      <c r="H28" s="5">
        <f t="shared" ref="H28:H33" si="14">(87.6*F28)/(9*17.2*7.8)</f>
        <v>15.52574041</v>
      </c>
      <c r="J28" s="1">
        <f t="shared" ref="J28:J33" si="15">-LOG10(D28)</f>
        <v>0.6695862267</v>
      </c>
    </row>
    <row r="29" ht="15.75" customHeight="1">
      <c r="A29" s="10">
        <v>150.0</v>
      </c>
      <c r="B29" s="11">
        <v>6.824</v>
      </c>
      <c r="C29" s="11">
        <v>6.625</v>
      </c>
      <c r="D29" s="1">
        <f t="shared" si="11"/>
        <v>0.199</v>
      </c>
      <c r="E29" s="1">
        <f t="shared" si="12"/>
        <v>0.7011469236</v>
      </c>
      <c r="F29" s="1">
        <f t="shared" si="13"/>
        <v>199</v>
      </c>
      <c r="G29" s="5">
        <f>(D33-D29)/(D33)*100</f>
        <v>34.10596026</v>
      </c>
      <c r="H29" s="5">
        <f t="shared" si="14"/>
        <v>14.43748758</v>
      </c>
      <c r="J29" s="1">
        <f t="shared" si="15"/>
        <v>0.7011469236</v>
      </c>
    </row>
    <row r="30" ht="15.75" customHeight="1">
      <c r="A30" s="10">
        <v>250.0</v>
      </c>
      <c r="B30" s="11">
        <v>7.104</v>
      </c>
      <c r="C30" s="11">
        <v>6.95</v>
      </c>
      <c r="D30" s="1">
        <f t="shared" si="11"/>
        <v>0.154</v>
      </c>
      <c r="E30" s="1">
        <f t="shared" si="12"/>
        <v>0.8124792792</v>
      </c>
      <c r="F30" s="1">
        <f t="shared" si="13"/>
        <v>154</v>
      </c>
      <c r="G30" s="5">
        <f>(D33-D30)/(D33)*100</f>
        <v>49.00662252</v>
      </c>
      <c r="H30" s="5">
        <f t="shared" si="14"/>
        <v>11.17272908</v>
      </c>
      <c r="J30" s="1">
        <f t="shared" si="15"/>
        <v>0.8124792792</v>
      </c>
    </row>
    <row r="31" ht="15.75" customHeight="1">
      <c r="A31" s="10">
        <v>350.0</v>
      </c>
      <c r="B31" s="11">
        <v>7.09</v>
      </c>
      <c r="C31" s="11">
        <v>7.027</v>
      </c>
      <c r="D31" s="1">
        <f t="shared" si="11"/>
        <v>0.063</v>
      </c>
      <c r="E31" s="1">
        <f t="shared" si="12"/>
        <v>1.200659451</v>
      </c>
      <c r="F31" s="1">
        <f t="shared" si="13"/>
        <v>63</v>
      </c>
      <c r="G31" s="5">
        <f>(D33-D31)/(D33)*100</f>
        <v>79.13907285</v>
      </c>
      <c r="H31" s="5">
        <f t="shared" si="14"/>
        <v>4.570661896</v>
      </c>
      <c r="J31" s="1">
        <f t="shared" si="15"/>
        <v>1.200659451</v>
      </c>
    </row>
    <row r="32" ht="15.75" customHeight="1">
      <c r="A32" s="10">
        <v>450.0</v>
      </c>
      <c r="B32" s="11">
        <v>6.652</v>
      </c>
      <c r="C32" s="11">
        <v>6.585</v>
      </c>
      <c r="D32" s="1">
        <f t="shared" si="11"/>
        <v>0.067</v>
      </c>
      <c r="E32" s="1">
        <f t="shared" si="12"/>
        <v>1.173925197</v>
      </c>
      <c r="F32" s="1">
        <f t="shared" si="13"/>
        <v>67</v>
      </c>
      <c r="G32" s="5">
        <f>(D33-D32)/(D33)*100</f>
        <v>77.81456954</v>
      </c>
      <c r="H32" s="5">
        <f t="shared" si="14"/>
        <v>4.860862652</v>
      </c>
      <c r="J32" s="1">
        <f t="shared" si="15"/>
        <v>1.173925197</v>
      </c>
    </row>
    <row r="33" ht="15.75" customHeight="1">
      <c r="A33" s="10" t="s">
        <v>13</v>
      </c>
      <c r="B33" s="11">
        <v>7.063</v>
      </c>
      <c r="C33" s="11">
        <v>6.761</v>
      </c>
      <c r="D33" s="1">
        <f t="shared" si="11"/>
        <v>0.302</v>
      </c>
      <c r="E33" s="1">
        <f t="shared" si="12"/>
        <v>0.519993057</v>
      </c>
      <c r="F33" s="1">
        <f t="shared" si="13"/>
        <v>302</v>
      </c>
      <c r="H33" s="5">
        <f t="shared" si="14"/>
        <v>21.91015703</v>
      </c>
      <c r="J33" s="1">
        <f t="shared" si="15"/>
        <v>0.519993057</v>
      </c>
    </row>
    <row r="34" ht="15.75" customHeight="1"/>
    <row r="35" ht="15.75" customHeight="1">
      <c r="A35" s="2" t="s">
        <v>19</v>
      </c>
    </row>
    <row r="36" ht="15.75" customHeight="1">
      <c r="A36" s="6" t="s">
        <v>4</v>
      </c>
      <c r="B36" s="7" t="s">
        <v>5</v>
      </c>
      <c r="C36" s="7" t="s">
        <v>6</v>
      </c>
      <c r="D36" s="8" t="s">
        <v>15</v>
      </c>
      <c r="E36" s="2" t="s">
        <v>8</v>
      </c>
      <c r="F36" s="8" t="s">
        <v>16</v>
      </c>
      <c r="G36" s="8" t="s">
        <v>17</v>
      </c>
      <c r="H36" s="8" t="s">
        <v>11</v>
      </c>
      <c r="J36" s="2" t="s">
        <v>8</v>
      </c>
    </row>
    <row r="37" ht="15.75" customHeight="1">
      <c r="A37" s="10">
        <v>50.0</v>
      </c>
      <c r="B37" s="11">
        <v>7.378</v>
      </c>
      <c r="C37" s="11">
        <v>7.167</v>
      </c>
      <c r="D37" s="1">
        <f t="shared" ref="D37:D42" si="16">B37-C37</f>
        <v>0.211</v>
      </c>
      <c r="E37" s="1">
        <f t="shared" ref="E37:E43" si="17">-LOG10(D37)</f>
        <v>0.6757175447</v>
      </c>
      <c r="F37" s="1">
        <f t="shared" ref="F37:F42" si="18">D37*1000</f>
        <v>211</v>
      </c>
      <c r="G37" s="5">
        <f>(D42-D37)/(D42)*100</f>
        <v>27.24137931</v>
      </c>
      <c r="H37" s="5">
        <f t="shared" ref="H37:H42" si="19">(87.6*F37)/(12*17.2*7.8)</f>
        <v>11.48106738</v>
      </c>
      <c r="J37" s="1">
        <f t="shared" ref="J37:J42" si="20">-LOG10(D37)</f>
        <v>0.6757175447</v>
      </c>
    </row>
    <row r="38" ht="15.75" customHeight="1">
      <c r="A38" s="10">
        <v>150.0</v>
      </c>
      <c r="B38" s="11">
        <v>6.552</v>
      </c>
      <c r="C38" s="11">
        <v>6.37</v>
      </c>
      <c r="D38" s="1">
        <f t="shared" si="16"/>
        <v>0.182</v>
      </c>
      <c r="E38" s="1">
        <f t="shared" si="17"/>
        <v>0.739928612</v>
      </c>
      <c r="F38" s="1">
        <f t="shared" si="18"/>
        <v>182</v>
      </c>
      <c r="G38" s="5">
        <f>(D42-D38)/(D42)*100</f>
        <v>37.24137931</v>
      </c>
      <c r="H38" s="5">
        <f t="shared" si="19"/>
        <v>9.903100775</v>
      </c>
      <c r="J38" s="1">
        <f t="shared" si="20"/>
        <v>0.739928612</v>
      </c>
    </row>
    <row r="39" ht="15.75" customHeight="1">
      <c r="A39" s="10">
        <v>250.0</v>
      </c>
      <c r="B39" s="11">
        <v>6.334</v>
      </c>
      <c r="C39" s="11">
        <v>6.16</v>
      </c>
      <c r="D39" s="1">
        <f t="shared" si="16"/>
        <v>0.174</v>
      </c>
      <c r="E39" s="1">
        <f t="shared" si="17"/>
        <v>0.7594507517</v>
      </c>
      <c r="F39" s="1">
        <f t="shared" si="18"/>
        <v>174</v>
      </c>
      <c r="G39" s="5">
        <f>(D42-D39)/(D42)*100</f>
        <v>40</v>
      </c>
      <c r="H39" s="5">
        <f t="shared" si="19"/>
        <v>9.467799642</v>
      </c>
      <c r="J39" s="1">
        <f t="shared" si="20"/>
        <v>0.7594507517</v>
      </c>
    </row>
    <row r="40" ht="15.75" customHeight="1">
      <c r="A40" s="10">
        <v>350.0</v>
      </c>
      <c r="B40" s="11">
        <v>7.022</v>
      </c>
      <c r="C40" s="11">
        <v>6.935</v>
      </c>
      <c r="D40" s="1">
        <f t="shared" si="16"/>
        <v>0.087</v>
      </c>
      <c r="E40" s="1">
        <f t="shared" si="17"/>
        <v>1.060480747</v>
      </c>
      <c r="F40" s="1">
        <f t="shared" si="18"/>
        <v>87</v>
      </c>
      <c r="G40" s="5">
        <f>(D42-D40)/(D42)*100</f>
        <v>70</v>
      </c>
      <c r="H40" s="5">
        <f t="shared" si="19"/>
        <v>4.733899821</v>
      </c>
      <c r="J40" s="1">
        <f t="shared" si="20"/>
        <v>1.060480747</v>
      </c>
    </row>
    <row r="41" ht="15.75" customHeight="1">
      <c r="A41" s="10">
        <v>450.0</v>
      </c>
      <c r="B41" s="11">
        <v>6.073</v>
      </c>
      <c r="C41" s="11">
        <v>6.004</v>
      </c>
      <c r="D41" s="1">
        <f t="shared" si="16"/>
        <v>0.069</v>
      </c>
      <c r="E41" s="1">
        <f t="shared" si="17"/>
        <v>1.161150909</v>
      </c>
      <c r="F41" s="1">
        <f t="shared" si="18"/>
        <v>69</v>
      </c>
      <c r="G41" s="5">
        <f>(D42-D41)/(D42)*100</f>
        <v>76.20689655</v>
      </c>
      <c r="H41" s="5">
        <f t="shared" si="19"/>
        <v>3.754472272</v>
      </c>
      <c r="J41" s="1">
        <f t="shared" si="20"/>
        <v>1.161150909</v>
      </c>
    </row>
    <row r="42" ht="15.75" customHeight="1">
      <c r="A42" s="12" t="s">
        <v>13</v>
      </c>
      <c r="B42" s="13">
        <v>7.362</v>
      </c>
      <c r="C42" s="13">
        <v>7.072</v>
      </c>
      <c r="D42" s="1">
        <f t="shared" si="16"/>
        <v>0.29</v>
      </c>
      <c r="E42" s="1">
        <f t="shared" si="17"/>
        <v>0.5376020021</v>
      </c>
      <c r="F42" s="1">
        <f t="shared" si="18"/>
        <v>290</v>
      </c>
      <c r="H42" s="5">
        <f t="shared" si="19"/>
        <v>15.77966607</v>
      </c>
      <c r="J42" s="1">
        <f t="shared" si="20"/>
        <v>0.5376020021</v>
      </c>
    </row>
    <row r="43" ht="15.75" customHeight="1">
      <c r="A43" s="2" t="s">
        <v>20</v>
      </c>
      <c r="E43" s="1" t="str">
        <f t="shared" si="17"/>
        <v>#NUM!</v>
      </c>
    </row>
    <row r="44" ht="15.75" customHeight="1">
      <c r="A44" s="6" t="s">
        <v>4</v>
      </c>
      <c r="B44" s="7" t="s">
        <v>5</v>
      </c>
      <c r="C44" s="7" t="s">
        <v>6</v>
      </c>
      <c r="D44" s="8" t="s">
        <v>15</v>
      </c>
      <c r="E44" s="2" t="s">
        <v>8</v>
      </c>
      <c r="F44" s="8" t="s">
        <v>16</v>
      </c>
      <c r="G44" s="8" t="s">
        <v>17</v>
      </c>
      <c r="H44" s="8" t="s">
        <v>11</v>
      </c>
      <c r="J44" s="2" t="s">
        <v>8</v>
      </c>
    </row>
    <row r="45" ht="15.75" customHeight="1">
      <c r="A45" s="10">
        <v>50.0</v>
      </c>
      <c r="B45" s="11">
        <v>5.751</v>
      </c>
      <c r="C45" s="11">
        <v>5.483</v>
      </c>
      <c r="D45" s="1">
        <f t="shared" ref="D45:D50" si="21">B45-C45</f>
        <v>0.268</v>
      </c>
      <c r="E45" s="1">
        <f t="shared" ref="E45:E50" si="22">-LOG10(D45)</f>
        <v>0.571865206</v>
      </c>
      <c r="F45" s="1">
        <f t="shared" ref="F45:F50" si="23">D45*1000</f>
        <v>268</v>
      </c>
      <c r="G45" s="5">
        <f>(D50-D45)/(D50)*100</f>
        <v>29.84293194</v>
      </c>
      <c r="H45" s="5">
        <f t="shared" ref="H45:H50" si="24">(87.6*F45)/(15*17.2*7.8)</f>
        <v>11.66607036</v>
      </c>
      <c r="J45" s="1">
        <f t="shared" ref="J45:J50" si="25"> -LOG10(D45)</f>
        <v>0.571865206</v>
      </c>
    </row>
    <row r="46" ht="15.75" customHeight="1">
      <c r="A46" s="10">
        <v>150.0</v>
      </c>
      <c r="B46" s="11">
        <v>7.191</v>
      </c>
      <c r="C46" s="11">
        <v>6.958</v>
      </c>
      <c r="D46" s="1">
        <f t="shared" si="21"/>
        <v>0.233</v>
      </c>
      <c r="E46" s="1">
        <f t="shared" si="22"/>
        <v>0.632644079</v>
      </c>
      <c r="F46" s="1">
        <f t="shared" si="23"/>
        <v>233</v>
      </c>
      <c r="G46" s="5">
        <f>(D50-D46)/(D50)*100</f>
        <v>39.0052356</v>
      </c>
      <c r="H46" s="5">
        <f t="shared" si="24"/>
        <v>10.1425164</v>
      </c>
      <c r="J46" s="1">
        <f t="shared" si="25"/>
        <v>0.632644079</v>
      </c>
    </row>
    <row r="47" ht="15.75" customHeight="1">
      <c r="A47" s="10">
        <v>250.0</v>
      </c>
      <c r="B47" s="11">
        <v>6.324</v>
      </c>
      <c r="C47" s="11">
        <v>6.091</v>
      </c>
      <c r="D47" s="1">
        <f t="shared" si="21"/>
        <v>0.233</v>
      </c>
      <c r="E47" s="1">
        <f t="shared" si="22"/>
        <v>0.632644079</v>
      </c>
      <c r="F47" s="1">
        <f t="shared" si="23"/>
        <v>233</v>
      </c>
      <c r="G47" s="5">
        <f>(D50-D47)/(D50)*100</f>
        <v>39.0052356</v>
      </c>
      <c r="H47" s="5">
        <f t="shared" si="24"/>
        <v>10.1425164</v>
      </c>
      <c r="J47" s="1">
        <f t="shared" si="25"/>
        <v>0.632644079</v>
      </c>
    </row>
    <row r="48" ht="15.75" customHeight="1">
      <c r="A48" s="10">
        <v>350.0</v>
      </c>
      <c r="B48" s="11">
        <v>5.433</v>
      </c>
      <c r="C48" s="11">
        <v>5.33</v>
      </c>
      <c r="D48" s="1">
        <f t="shared" si="21"/>
        <v>0.103</v>
      </c>
      <c r="E48" s="1">
        <f t="shared" si="22"/>
        <v>0.9871627753</v>
      </c>
      <c r="F48" s="1">
        <f t="shared" si="23"/>
        <v>103</v>
      </c>
      <c r="G48" s="5">
        <f>(D50-D48)/(D50)*100</f>
        <v>73.03664921</v>
      </c>
      <c r="H48" s="5">
        <f t="shared" si="24"/>
        <v>4.48360167</v>
      </c>
      <c r="J48" s="1">
        <f t="shared" si="25"/>
        <v>0.9871627753</v>
      </c>
    </row>
    <row r="49" ht="15.75" customHeight="1">
      <c r="A49" s="10">
        <v>450.0</v>
      </c>
      <c r="B49" s="11">
        <v>8.521</v>
      </c>
      <c r="C49" s="11">
        <v>8.425</v>
      </c>
      <c r="D49" s="1">
        <f t="shared" si="21"/>
        <v>0.096</v>
      </c>
      <c r="E49" s="1">
        <f t="shared" si="22"/>
        <v>1.017728767</v>
      </c>
      <c r="F49" s="1">
        <f t="shared" si="23"/>
        <v>96</v>
      </c>
      <c r="G49" s="5">
        <f>(D50-D49)/(D50)*100</f>
        <v>74.86910995</v>
      </c>
      <c r="H49" s="5">
        <f t="shared" si="24"/>
        <v>4.178890877</v>
      </c>
      <c r="J49" s="1">
        <f t="shared" si="25"/>
        <v>1.017728767</v>
      </c>
    </row>
    <row r="50" ht="15.75" customHeight="1">
      <c r="A50" s="12" t="s">
        <v>13</v>
      </c>
      <c r="B50" s="13">
        <v>6.797</v>
      </c>
      <c r="C50" s="13">
        <v>6.415</v>
      </c>
      <c r="D50" s="1">
        <f t="shared" si="21"/>
        <v>0.382</v>
      </c>
      <c r="E50" s="1">
        <f t="shared" si="22"/>
        <v>0.4179366371</v>
      </c>
      <c r="F50" s="1">
        <f t="shared" si="23"/>
        <v>382</v>
      </c>
      <c r="H50" s="5">
        <f t="shared" si="24"/>
        <v>16.62850328</v>
      </c>
      <c r="J50" s="1">
        <f t="shared" si="25"/>
        <v>0.4179366371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21.0"/>
    <col customWidth="1" min="5" max="5" width="18.86"/>
    <col customWidth="1" min="6" max="6" width="17.86"/>
    <col customWidth="1" min="7" max="7" width="21.86"/>
    <col customWidth="1" min="8" max="8" width="18.14"/>
    <col customWidth="1" min="9" max="9" width="16.71"/>
    <col customWidth="1" min="10" max="10" width="12.71"/>
    <col customWidth="1" min="11" max="11" width="14.29"/>
    <col customWidth="1" min="12" max="26" width="8.71"/>
  </cols>
  <sheetData>
    <row r="1">
      <c r="A1" s="14"/>
    </row>
    <row r="3">
      <c r="D3" s="2" t="s">
        <v>21</v>
      </c>
    </row>
    <row r="4">
      <c r="D4" s="15" t="s">
        <v>4</v>
      </c>
      <c r="E4" s="15" t="s">
        <v>5</v>
      </c>
      <c r="F4" s="15" t="s">
        <v>6</v>
      </c>
      <c r="G4" s="15" t="s">
        <v>15</v>
      </c>
      <c r="H4" s="15"/>
      <c r="I4" s="15" t="s">
        <v>16</v>
      </c>
      <c r="J4" s="15" t="s">
        <v>17</v>
      </c>
      <c r="K4" s="15" t="s">
        <v>22</v>
      </c>
      <c r="L4" s="15" t="s">
        <v>23</v>
      </c>
    </row>
    <row r="5">
      <c r="D5" s="1">
        <v>50.0</v>
      </c>
      <c r="E5" s="1">
        <v>7.532</v>
      </c>
      <c r="F5" s="1">
        <v>7.451</v>
      </c>
      <c r="G5" s="1">
        <f t="shared" ref="G5:G10" si="1">E5-F5</f>
        <v>0.081</v>
      </c>
      <c r="H5" s="1">
        <f t="shared" ref="H5:H10" si="2">-LOG10(G5)</f>
        <v>1.091514981</v>
      </c>
      <c r="I5" s="1">
        <f t="shared" ref="I5:I10" si="3">G5*1000</f>
        <v>81</v>
      </c>
      <c r="J5" s="1">
        <f>(G10-G5)/(G10)*100</f>
        <v>34.67741935</v>
      </c>
      <c r="K5" s="5">
        <f t="shared" ref="K5:K10" si="4">(87.6*I5)/(3*17.2*7.8)</f>
        <v>17.62969589</v>
      </c>
      <c r="L5" s="1">
        <v>3.0</v>
      </c>
    </row>
    <row r="6">
      <c r="D6" s="1">
        <v>150.0</v>
      </c>
      <c r="E6" s="1">
        <v>5.955</v>
      </c>
      <c r="F6" s="1">
        <v>5.879</v>
      </c>
      <c r="G6" s="1">
        <f t="shared" si="1"/>
        <v>0.076</v>
      </c>
      <c r="H6" s="1">
        <f t="shared" si="2"/>
        <v>1.119186408</v>
      </c>
      <c r="I6" s="1">
        <f t="shared" si="3"/>
        <v>76</v>
      </c>
      <c r="J6" s="1">
        <f>(G10-G6)/(G10)*100</f>
        <v>38.70967742</v>
      </c>
      <c r="K6" s="5">
        <f t="shared" si="4"/>
        <v>16.54144305</v>
      </c>
      <c r="L6" s="1">
        <v>6.0</v>
      </c>
    </row>
    <row r="7">
      <c r="D7" s="1">
        <v>250.0</v>
      </c>
      <c r="E7" s="1">
        <v>6.437</v>
      </c>
      <c r="F7" s="1">
        <v>6.399</v>
      </c>
      <c r="G7" s="1">
        <f t="shared" si="1"/>
        <v>0.038</v>
      </c>
      <c r="H7" s="1">
        <f t="shared" si="2"/>
        <v>1.420216403</v>
      </c>
      <c r="I7" s="1">
        <f t="shared" si="3"/>
        <v>38</v>
      </c>
      <c r="J7" s="1">
        <f>(G10-G7)/(G10)*100</f>
        <v>69.35483871</v>
      </c>
      <c r="K7" s="5">
        <f t="shared" si="4"/>
        <v>8.270721527</v>
      </c>
      <c r="L7" s="1">
        <v>9.0</v>
      </c>
    </row>
    <row r="8">
      <c r="D8" s="1">
        <v>350.0</v>
      </c>
      <c r="E8" s="1">
        <v>6.603</v>
      </c>
      <c r="F8" s="1">
        <v>6.57</v>
      </c>
      <c r="G8" s="1">
        <f t="shared" si="1"/>
        <v>0.033</v>
      </c>
      <c r="H8" s="1">
        <f t="shared" si="2"/>
        <v>1.48148606</v>
      </c>
      <c r="I8" s="1">
        <f t="shared" si="3"/>
        <v>33</v>
      </c>
      <c r="J8" s="1">
        <f>(G10-G8)/(G10)*100</f>
        <v>73.38709677</v>
      </c>
      <c r="K8" s="5">
        <f t="shared" si="4"/>
        <v>7.182468694</v>
      </c>
      <c r="L8" s="1">
        <v>12.0</v>
      </c>
    </row>
    <row r="9">
      <c r="D9" s="1">
        <v>450.0</v>
      </c>
      <c r="E9" s="1">
        <v>5.955</v>
      </c>
      <c r="F9" s="1">
        <v>5.941</v>
      </c>
      <c r="G9" s="1">
        <f t="shared" si="1"/>
        <v>0.014</v>
      </c>
      <c r="H9" s="1">
        <f t="shared" si="2"/>
        <v>1.853871964</v>
      </c>
      <c r="I9" s="1">
        <f t="shared" si="3"/>
        <v>14</v>
      </c>
      <c r="J9" s="1">
        <f>(G10-G9)/(G10)*100</f>
        <v>88.70967742</v>
      </c>
      <c r="K9" s="5">
        <f t="shared" si="4"/>
        <v>3.047107931</v>
      </c>
      <c r="L9" s="1">
        <v>15.0</v>
      </c>
    </row>
    <row r="10">
      <c r="D10" s="1" t="s">
        <v>13</v>
      </c>
      <c r="E10" s="1">
        <v>6.546</v>
      </c>
      <c r="F10" s="1">
        <v>6.422</v>
      </c>
      <c r="G10" s="1">
        <f t="shared" si="1"/>
        <v>0.124</v>
      </c>
      <c r="H10" s="1">
        <f t="shared" si="2"/>
        <v>0.9065783148</v>
      </c>
      <c r="I10" s="1">
        <f t="shared" si="3"/>
        <v>124</v>
      </c>
      <c r="K10" s="5">
        <f t="shared" si="4"/>
        <v>26.98867024</v>
      </c>
    </row>
    <row r="12">
      <c r="D12" s="2" t="s">
        <v>24</v>
      </c>
    </row>
    <row r="13">
      <c r="D13" s="2" t="s">
        <v>4</v>
      </c>
      <c r="E13" s="2" t="s">
        <v>5</v>
      </c>
      <c r="F13" s="2" t="s">
        <v>6</v>
      </c>
      <c r="G13" s="2" t="s">
        <v>15</v>
      </c>
      <c r="H13" s="2"/>
      <c r="I13" s="2" t="s">
        <v>16</v>
      </c>
      <c r="J13" s="2" t="s">
        <v>17</v>
      </c>
      <c r="K13" s="2" t="s">
        <v>25</v>
      </c>
    </row>
    <row r="14">
      <c r="D14" s="1">
        <v>50.0</v>
      </c>
      <c r="E14" s="1">
        <v>7.703</v>
      </c>
      <c r="F14" s="1">
        <v>7.106</v>
      </c>
      <c r="G14" s="1">
        <f t="shared" ref="G14:G19" si="5">E14-F14</f>
        <v>0.597</v>
      </c>
      <c r="H14" s="1">
        <f t="shared" ref="H14:H19" si="6">-LOG10(G14)</f>
        <v>0.2240256689</v>
      </c>
      <c r="I14" s="1">
        <f t="shared" ref="I14:I19" si="7">G14*1000</f>
        <v>597</v>
      </c>
      <c r="J14" s="5">
        <f>(G19-G14)/(G19)*100</f>
        <v>34.96732026</v>
      </c>
      <c r="K14" s="5">
        <f t="shared" ref="K14:K19" si="8">(87.6*I14)/(6*17.2*7.8)</f>
        <v>64.9686941</v>
      </c>
    </row>
    <row r="15">
      <c r="D15" s="1">
        <v>150.0</v>
      </c>
      <c r="E15" s="1">
        <v>7.667</v>
      </c>
      <c r="F15" s="1">
        <v>7.097</v>
      </c>
      <c r="G15" s="1">
        <f t="shared" si="5"/>
        <v>0.57</v>
      </c>
      <c r="H15" s="1">
        <f t="shared" si="6"/>
        <v>0.2441251443</v>
      </c>
      <c r="I15" s="1">
        <f t="shared" si="7"/>
        <v>570</v>
      </c>
      <c r="J15" s="5">
        <f>(G19-G15)/(G19)*100</f>
        <v>37.90849673</v>
      </c>
      <c r="K15" s="5">
        <f t="shared" si="8"/>
        <v>62.03041145</v>
      </c>
    </row>
    <row r="16">
      <c r="D16" s="1">
        <v>250.0</v>
      </c>
      <c r="E16" s="1">
        <v>6.623</v>
      </c>
      <c r="F16" s="1">
        <v>6.32</v>
      </c>
      <c r="G16" s="1">
        <f t="shared" si="5"/>
        <v>0.303</v>
      </c>
      <c r="H16" s="1">
        <f t="shared" si="6"/>
        <v>0.5185573715</v>
      </c>
      <c r="I16" s="1">
        <f t="shared" si="7"/>
        <v>303</v>
      </c>
      <c r="J16" s="5">
        <f>(G19-G16)/(G19)*100</f>
        <v>66.99346405</v>
      </c>
      <c r="K16" s="5">
        <f t="shared" si="8"/>
        <v>32.97406082</v>
      </c>
    </row>
    <row r="17">
      <c r="D17" s="1">
        <v>350.0</v>
      </c>
      <c r="E17" s="1">
        <v>6.214</v>
      </c>
      <c r="F17" s="1">
        <v>5.975</v>
      </c>
      <c r="G17" s="1">
        <f t="shared" si="5"/>
        <v>0.239</v>
      </c>
      <c r="H17" s="1">
        <f t="shared" si="6"/>
        <v>0.6216020991</v>
      </c>
      <c r="I17" s="1">
        <f t="shared" si="7"/>
        <v>239</v>
      </c>
      <c r="J17" s="5">
        <f>(G19-G17)/(G19)*100</f>
        <v>73.96514161</v>
      </c>
      <c r="K17" s="5">
        <f t="shared" si="8"/>
        <v>26.0092427</v>
      </c>
    </row>
    <row r="18">
      <c r="D18" s="1">
        <v>450.0</v>
      </c>
      <c r="E18" s="1">
        <v>6.158</v>
      </c>
      <c r="F18" s="1">
        <v>6.02</v>
      </c>
      <c r="G18" s="1">
        <f t="shared" si="5"/>
        <v>0.138</v>
      </c>
      <c r="H18" s="1">
        <f t="shared" si="6"/>
        <v>0.8601209136</v>
      </c>
      <c r="I18" s="1">
        <f t="shared" si="7"/>
        <v>138</v>
      </c>
      <c r="J18" s="5">
        <f>(G19-G18)/(G19)*100</f>
        <v>84.96732026</v>
      </c>
      <c r="K18" s="5">
        <f t="shared" si="8"/>
        <v>15.01788909</v>
      </c>
    </row>
    <row r="19">
      <c r="D19" s="1" t="s">
        <v>13</v>
      </c>
      <c r="E19" s="1">
        <v>6.186</v>
      </c>
      <c r="F19" s="1">
        <v>5.268</v>
      </c>
      <c r="G19" s="1">
        <f t="shared" si="5"/>
        <v>0.918</v>
      </c>
      <c r="H19" s="1">
        <f t="shared" si="6"/>
        <v>0.0371573188</v>
      </c>
      <c r="I19" s="1">
        <f t="shared" si="7"/>
        <v>918</v>
      </c>
      <c r="K19" s="5">
        <f t="shared" si="8"/>
        <v>99.90161002</v>
      </c>
    </row>
    <row r="21" ht="15.75" customHeight="1">
      <c r="D21" s="1" t="s">
        <v>26</v>
      </c>
    </row>
    <row r="22" ht="15.75" customHeight="1">
      <c r="D22" s="6" t="s">
        <v>4</v>
      </c>
      <c r="E22" s="7" t="s">
        <v>5</v>
      </c>
      <c r="F22" s="7" t="s">
        <v>6</v>
      </c>
      <c r="G22" s="8" t="s">
        <v>15</v>
      </c>
      <c r="H22" s="8"/>
      <c r="I22" s="8" t="s">
        <v>16</v>
      </c>
      <c r="J22" s="8" t="s">
        <v>17</v>
      </c>
      <c r="K22" s="8" t="s">
        <v>11</v>
      </c>
    </row>
    <row r="23" ht="15.75" customHeight="1">
      <c r="D23" s="16">
        <v>50.0</v>
      </c>
      <c r="E23" s="17">
        <v>6.563</v>
      </c>
      <c r="F23" s="17">
        <v>6.285</v>
      </c>
      <c r="G23" s="1">
        <f t="shared" ref="G23:G28" si="9">E23-F23</f>
        <v>0.278</v>
      </c>
      <c r="H23" s="1">
        <f t="shared" ref="H23:H28" si="10">-LOG10(G23)</f>
        <v>0.5559552041</v>
      </c>
      <c r="I23" s="1">
        <f t="shared" ref="I23:I28" si="11">G23*1000</f>
        <v>278</v>
      </c>
      <c r="J23" s="18">
        <f>(G28-G23)/(G28)*100</f>
        <v>31.01736973</v>
      </c>
      <c r="K23" s="19">
        <f t="shared" ref="K23:K28" si="12">(87.6*I23)/(9*17.2*7.8)</f>
        <v>20.16895249</v>
      </c>
    </row>
    <row r="24" ht="15.75" customHeight="1">
      <c r="D24" s="16">
        <v>150.0</v>
      </c>
      <c r="E24" s="17">
        <v>6.696</v>
      </c>
      <c r="F24" s="17">
        <v>6.438</v>
      </c>
      <c r="G24" s="1">
        <f t="shared" si="9"/>
        <v>0.258</v>
      </c>
      <c r="H24" s="1">
        <f t="shared" si="10"/>
        <v>0.588380294</v>
      </c>
      <c r="I24" s="1">
        <f t="shared" si="11"/>
        <v>258</v>
      </c>
      <c r="J24" s="18">
        <f>(G28-G24)/(G28)*100</f>
        <v>35.98014888</v>
      </c>
      <c r="K24" s="19">
        <f t="shared" si="12"/>
        <v>18.71794872</v>
      </c>
    </row>
    <row r="25" ht="15.75" customHeight="1">
      <c r="D25" s="16">
        <v>250.0</v>
      </c>
      <c r="E25" s="17">
        <v>6.407</v>
      </c>
      <c r="F25" s="17">
        <v>6.274</v>
      </c>
      <c r="G25" s="1">
        <f t="shared" si="9"/>
        <v>0.133</v>
      </c>
      <c r="H25" s="1">
        <f t="shared" si="10"/>
        <v>0.876148359</v>
      </c>
      <c r="I25" s="1">
        <f t="shared" si="11"/>
        <v>133</v>
      </c>
      <c r="J25" s="18">
        <f>(G28-G25)/(G28)*100</f>
        <v>66.99751861</v>
      </c>
      <c r="K25" s="19">
        <f t="shared" si="12"/>
        <v>9.649175114</v>
      </c>
    </row>
    <row r="26" ht="15.75" customHeight="1">
      <c r="D26" s="16">
        <v>350.0</v>
      </c>
      <c r="E26" s="17">
        <v>6.533</v>
      </c>
      <c r="F26" s="17">
        <v>6.424</v>
      </c>
      <c r="G26" s="1">
        <f t="shared" si="9"/>
        <v>0.109</v>
      </c>
      <c r="H26" s="1">
        <f t="shared" si="10"/>
        <v>0.9625735021</v>
      </c>
      <c r="I26" s="1">
        <f t="shared" si="11"/>
        <v>109</v>
      </c>
      <c r="J26" s="18">
        <f>(G28-G26)/(G28)*100</f>
        <v>72.9528536</v>
      </c>
      <c r="K26" s="19">
        <f t="shared" si="12"/>
        <v>7.907970582</v>
      </c>
    </row>
    <row r="27" ht="15.75" customHeight="1">
      <c r="D27" s="16">
        <v>450.0</v>
      </c>
      <c r="E27" s="17">
        <v>6.093</v>
      </c>
      <c r="F27" s="17">
        <v>6.016</v>
      </c>
      <c r="G27" s="1">
        <f t="shared" si="9"/>
        <v>0.077</v>
      </c>
      <c r="H27" s="1">
        <f t="shared" si="10"/>
        <v>1.113509275</v>
      </c>
      <c r="I27" s="1">
        <f t="shared" si="11"/>
        <v>77</v>
      </c>
      <c r="J27" s="18">
        <f>(G28-G27)/(G28)*100</f>
        <v>80.89330025</v>
      </c>
      <c r="K27" s="19">
        <f t="shared" si="12"/>
        <v>5.58636454</v>
      </c>
    </row>
    <row r="28" ht="15.75" customHeight="1">
      <c r="D28" s="16" t="s">
        <v>13</v>
      </c>
      <c r="E28" s="17">
        <v>6.297</v>
      </c>
      <c r="F28" s="17">
        <v>5.894</v>
      </c>
      <c r="G28" s="1">
        <f t="shared" si="9"/>
        <v>0.403</v>
      </c>
      <c r="H28" s="1">
        <f t="shared" si="10"/>
        <v>0.3946949539</v>
      </c>
      <c r="I28" s="1">
        <f t="shared" si="11"/>
        <v>403</v>
      </c>
      <c r="K28" s="19">
        <f t="shared" si="12"/>
        <v>29.2377261</v>
      </c>
    </row>
    <row r="29" ht="15.75" customHeight="1"/>
    <row r="30" ht="15.75" customHeight="1">
      <c r="D30" s="2" t="s">
        <v>27</v>
      </c>
    </row>
    <row r="31" ht="15.75" customHeight="1">
      <c r="D31" s="15" t="s">
        <v>4</v>
      </c>
      <c r="E31" s="15" t="s">
        <v>5</v>
      </c>
      <c r="F31" s="15" t="s">
        <v>6</v>
      </c>
      <c r="G31" s="15" t="s">
        <v>28</v>
      </c>
      <c r="H31" s="15"/>
      <c r="I31" s="15" t="s">
        <v>29</v>
      </c>
      <c r="J31" s="15" t="s">
        <v>17</v>
      </c>
      <c r="K31" s="15" t="s">
        <v>11</v>
      </c>
    </row>
    <row r="32" ht="15.75" customHeight="1">
      <c r="D32" s="1">
        <v>50.0</v>
      </c>
      <c r="E32" s="1">
        <v>8.45</v>
      </c>
      <c r="F32" s="1">
        <v>8.072</v>
      </c>
      <c r="G32" s="1">
        <f t="shared" ref="G32:G37" si="13">E32-F32</f>
        <v>0.378</v>
      </c>
      <c r="H32" s="1">
        <f t="shared" ref="H32:H37" si="14">-LOG10(G32)</f>
        <v>0.4225082002</v>
      </c>
      <c r="I32" s="1">
        <f t="shared" ref="I32:I37" si="15">G32*1000</f>
        <v>378</v>
      </c>
      <c r="J32" s="5">
        <f>(G37-G32)/(G37)*100</f>
        <v>25</v>
      </c>
      <c r="K32" s="5">
        <f t="shared" ref="K32:K37" si="16">(87.6*I32)/(12*17.2*7.8)</f>
        <v>20.56797853</v>
      </c>
    </row>
    <row r="33" ht="15.75" customHeight="1">
      <c r="D33" s="1">
        <v>150.0</v>
      </c>
      <c r="E33" s="1">
        <v>5.939</v>
      </c>
      <c r="F33" s="1">
        <v>5.582</v>
      </c>
      <c r="G33" s="1">
        <f t="shared" si="13"/>
        <v>0.357</v>
      </c>
      <c r="H33" s="1">
        <f t="shared" si="14"/>
        <v>0.4473317839</v>
      </c>
      <c r="I33" s="1">
        <f t="shared" si="15"/>
        <v>357</v>
      </c>
      <c r="J33" s="5">
        <f>(G37-G33)/(G37)*100</f>
        <v>29.16666667</v>
      </c>
      <c r="K33" s="5">
        <f t="shared" si="16"/>
        <v>19.42531306</v>
      </c>
    </row>
    <row r="34" ht="15.75" customHeight="1">
      <c r="D34" s="1">
        <v>250.0</v>
      </c>
      <c r="E34" s="1">
        <v>6.866</v>
      </c>
      <c r="F34" s="1">
        <v>6.677</v>
      </c>
      <c r="G34" s="1">
        <f t="shared" si="13"/>
        <v>0.189</v>
      </c>
      <c r="H34" s="1">
        <f t="shared" si="14"/>
        <v>0.7235381958</v>
      </c>
      <c r="I34" s="1">
        <f t="shared" si="15"/>
        <v>189</v>
      </c>
      <c r="J34" s="5">
        <f>(G37-G34)/(G37)*100</f>
        <v>62.5</v>
      </c>
      <c r="K34" s="5">
        <f t="shared" si="16"/>
        <v>10.28398927</v>
      </c>
    </row>
    <row r="35" ht="15.75" customHeight="1">
      <c r="D35" s="1">
        <v>350.0</v>
      </c>
      <c r="E35" s="1">
        <v>6.204</v>
      </c>
      <c r="F35" s="1">
        <v>6.052</v>
      </c>
      <c r="G35" s="1">
        <f t="shared" si="13"/>
        <v>0.152</v>
      </c>
      <c r="H35" s="1">
        <f t="shared" si="14"/>
        <v>0.8181564121</v>
      </c>
      <c r="I35" s="1">
        <f t="shared" si="15"/>
        <v>152</v>
      </c>
      <c r="J35" s="5">
        <f>(G37-G35)/(G37)*100</f>
        <v>69.84126984</v>
      </c>
      <c r="K35" s="5">
        <f t="shared" si="16"/>
        <v>8.270721527</v>
      </c>
    </row>
    <row r="36" ht="15.75" customHeight="1">
      <c r="D36" s="1">
        <v>450.0</v>
      </c>
      <c r="E36" s="1">
        <v>7.63</v>
      </c>
      <c r="F36" s="1">
        <v>7.504</v>
      </c>
      <c r="G36" s="1">
        <f t="shared" si="13"/>
        <v>0.126</v>
      </c>
      <c r="H36" s="1">
        <f t="shared" si="14"/>
        <v>0.8996294549</v>
      </c>
      <c r="I36" s="1">
        <f t="shared" si="15"/>
        <v>126</v>
      </c>
      <c r="J36" s="5">
        <f>(G37-G36)/(G37)*100</f>
        <v>75</v>
      </c>
      <c r="K36" s="5">
        <f t="shared" si="16"/>
        <v>6.855992844</v>
      </c>
    </row>
    <row r="37" ht="15.75" customHeight="1">
      <c r="D37" s="1" t="s">
        <v>13</v>
      </c>
      <c r="E37" s="1">
        <v>6.261</v>
      </c>
      <c r="F37" s="1">
        <v>5.757</v>
      </c>
      <c r="G37" s="1">
        <f t="shared" si="13"/>
        <v>0.504</v>
      </c>
      <c r="H37" s="1">
        <f t="shared" si="14"/>
        <v>0.2975694636</v>
      </c>
      <c r="I37" s="1">
        <f t="shared" si="15"/>
        <v>504</v>
      </c>
      <c r="K37" s="5">
        <f t="shared" si="16"/>
        <v>27.42397138</v>
      </c>
    </row>
    <row r="38" ht="15.75" customHeight="1"/>
    <row r="39" ht="15.75" customHeight="1">
      <c r="D39" s="2" t="s">
        <v>30</v>
      </c>
      <c r="E39" s="2"/>
      <c r="F39" s="2"/>
      <c r="G39" s="2"/>
      <c r="H39" s="2"/>
      <c r="I39" s="2"/>
      <c r="J39" s="2"/>
      <c r="K39" s="2"/>
    </row>
    <row r="40" ht="15.75" customHeight="1">
      <c r="D40" s="2" t="s">
        <v>4</v>
      </c>
      <c r="E40" s="2" t="s">
        <v>5</v>
      </c>
      <c r="F40" s="2" t="s">
        <v>6</v>
      </c>
      <c r="G40" s="2" t="s">
        <v>28</v>
      </c>
      <c r="H40" s="2"/>
      <c r="I40" s="2" t="s">
        <v>16</v>
      </c>
      <c r="J40" s="2" t="s">
        <v>17</v>
      </c>
      <c r="K40" s="2" t="s">
        <v>11</v>
      </c>
    </row>
    <row r="41" ht="15.75" customHeight="1">
      <c r="D41" s="1">
        <v>50.0</v>
      </c>
      <c r="E41" s="1">
        <v>5.553</v>
      </c>
      <c r="F41" s="1">
        <v>5.245</v>
      </c>
      <c r="G41" s="1">
        <v>0.307</v>
      </c>
      <c r="H41" s="1">
        <f t="shared" ref="H41:H46" si="17">-LOG10(G41)</f>
        <v>0.5128616245</v>
      </c>
      <c r="I41" s="1">
        <f t="shared" ref="I41:I46" si="18">G41*1000</f>
        <v>307</v>
      </c>
      <c r="J41" s="5">
        <f>(G46-G41)/(G46)*100</f>
        <v>28.1030445</v>
      </c>
      <c r="K41" s="5">
        <f t="shared" ref="K41:K46" si="19">(87.6*I41)/(15*17.2*7.8)</f>
        <v>13.36374478</v>
      </c>
    </row>
    <row r="42" ht="15.75" customHeight="1">
      <c r="D42" s="1">
        <v>150.0</v>
      </c>
      <c r="E42" s="1">
        <v>5.487</v>
      </c>
      <c r="F42" s="1">
        <v>5.188</v>
      </c>
      <c r="G42" s="1">
        <v>0.299</v>
      </c>
      <c r="H42" s="1">
        <f t="shared" si="17"/>
        <v>0.5243288117</v>
      </c>
      <c r="I42" s="1">
        <f t="shared" si="18"/>
        <v>299</v>
      </c>
      <c r="J42" s="5">
        <f>(G46-G42)/(G46)*100</f>
        <v>29.9765808</v>
      </c>
      <c r="K42" s="5">
        <f t="shared" si="19"/>
        <v>13.01550388</v>
      </c>
    </row>
    <row r="43" ht="15.75" customHeight="1">
      <c r="D43" s="1">
        <v>250.0</v>
      </c>
      <c r="E43" s="1">
        <v>6.409</v>
      </c>
      <c r="F43" s="1">
        <v>6.251</v>
      </c>
      <c r="G43" s="1">
        <v>0.158</v>
      </c>
      <c r="H43" s="1">
        <f t="shared" si="17"/>
        <v>0.801342913</v>
      </c>
      <c r="I43" s="1">
        <f t="shared" si="18"/>
        <v>158</v>
      </c>
      <c r="J43" s="5">
        <f>(G46-G43)/(G46)*100</f>
        <v>62.99765808</v>
      </c>
      <c r="K43" s="5">
        <f t="shared" si="19"/>
        <v>6.877757901</v>
      </c>
    </row>
    <row r="44" ht="15.75" customHeight="1">
      <c r="D44" s="1">
        <v>350.0</v>
      </c>
      <c r="E44" s="1">
        <v>6.182</v>
      </c>
      <c r="F44" s="1">
        <v>6.059</v>
      </c>
      <c r="G44" s="1">
        <v>0.123</v>
      </c>
      <c r="H44" s="1">
        <f t="shared" si="17"/>
        <v>0.9100948886</v>
      </c>
      <c r="I44" s="1">
        <f t="shared" si="18"/>
        <v>123</v>
      </c>
      <c r="J44" s="5">
        <f>(G46-G44)/(G46)*100</f>
        <v>71.19437939</v>
      </c>
      <c r="K44" s="5">
        <f t="shared" si="19"/>
        <v>5.354203936</v>
      </c>
    </row>
    <row r="45" ht="15.75" customHeight="1">
      <c r="D45" s="1">
        <v>450.0</v>
      </c>
      <c r="E45" s="1">
        <v>7.436</v>
      </c>
      <c r="F45" s="1">
        <v>7.337</v>
      </c>
      <c r="G45" s="1">
        <v>0.099</v>
      </c>
      <c r="H45" s="1">
        <f t="shared" si="17"/>
        <v>1.004364805</v>
      </c>
      <c r="I45" s="1">
        <f t="shared" si="18"/>
        <v>99</v>
      </c>
      <c r="J45" s="5">
        <f>(G46-G45)/(G46)*100</f>
        <v>76.81498829</v>
      </c>
      <c r="K45" s="5">
        <f t="shared" si="19"/>
        <v>4.309481216</v>
      </c>
    </row>
    <row r="46" ht="15.75" customHeight="1">
      <c r="D46" s="1" t="s">
        <v>13</v>
      </c>
      <c r="E46" s="1">
        <v>6.504</v>
      </c>
      <c r="F46" s="1">
        <v>6.077</v>
      </c>
      <c r="G46" s="1">
        <v>0.427</v>
      </c>
      <c r="H46" s="1">
        <f t="shared" si="17"/>
        <v>0.369572125</v>
      </c>
      <c r="I46" s="1">
        <f t="shared" si="18"/>
        <v>427</v>
      </c>
      <c r="K46" s="5">
        <f t="shared" si="19"/>
        <v>18.58735838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18.57"/>
    <col customWidth="1" min="3" max="3" width="16.14"/>
    <col customWidth="1" min="4" max="4" width="18.43"/>
    <col customWidth="1" min="5" max="5" width="18.0"/>
    <col customWidth="1" min="6" max="6" width="18.29"/>
    <col customWidth="1" min="7" max="7" width="19.0"/>
    <col customWidth="1" min="8" max="8" width="17.0"/>
    <col customWidth="1" min="9" max="26" width="8.71"/>
  </cols>
  <sheetData>
    <row r="3">
      <c r="B3" s="2" t="s">
        <v>31</v>
      </c>
    </row>
    <row r="4">
      <c r="B4" s="2" t="s">
        <v>4</v>
      </c>
      <c r="C4" s="2" t="s">
        <v>5</v>
      </c>
      <c r="D4" s="2" t="s">
        <v>6</v>
      </c>
      <c r="E4" s="2" t="s">
        <v>8</v>
      </c>
      <c r="F4" s="2" t="s">
        <v>28</v>
      </c>
      <c r="G4" s="2" t="s">
        <v>16</v>
      </c>
      <c r="H4" s="2" t="s">
        <v>17</v>
      </c>
      <c r="I4" s="2" t="s">
        <v>11</v>
      </c>
      <c r="J4" s="2" t="s">
        <v>12</v>
      </c>
    </row>
    <row r="5">
      <c r="B5" s="1">
        <v>50.0</v>
      </c>
      <c r="C5" s="1">
        <v>6.362</v>
      </c>
      <c r="D5" s="1">
        <v>6.264</v>
      </c>
      <c r="E5" s="1">
        <f t="shared" ref="E5:E10" si="1">-LOG10(F5)</f>
        <v>1.013228266</v>
      </c>
      <c r="F5" s="1">
        <v>0.097</v>
      </c>
      <c r="G5" s="1">
        <f t="shared" ref="G5:G10" si="2">F5*1000</f>
        <v>97</v>
      </c>
      <c r="H5" s="5">
        <f>(F10-F5)/(F10)*100</f>
        <v>21.77419355</v>
      </c>
      <c r="I5" s="5">
        <f t="shared" ref="I5:I10" si="3">(87.6*G5)/(3*17.2*7.8)</f>
        <v>21.11210495</v>
      </c>
      <c r="J5" s="1">
        <v>3.0</v>
      </c>
    </row>
    <row r="6">
      <c r="B6" s="1">
        <v>150.0</v>
      </c>
      <c r="C6" s="1">
        <v>6.948</v>
      </c>
      <c r="D6" s="1">
        <v>6.903</v>
      </c>
      <c r="E6" s="1">
        <f t="shared" si="1"/>
        <v>1.346787486</v>
      </c>
      <c r="F6" s="1">
        <v>0.045</v>
      </c>
      <c r="G6" s="1">
        <f t="shared" si="2"/>
        <v>45</v>
      </c>
      <c r="H6" s="5">
        <f>(F10-F6)/(F10)*100</f>
        <v>63.70967742</v>
      </c>
      <c r="I6" s="5">
        <f t="shared" si="3"/>
        <v>9.794275492</v>
      </c>
      <c r="J6" s="1">
        <v>6.0</v>
      </c>
    </row>
    <row r="7">
      <c r="B7" s="1">
        <v>250.0</v>
      </c>
      <c r="C7" s="1">
        <v>6.645</v>
      </c>
      <c r="D7" s="1">
        <v>6.616</v>
      </c>
      <c r="E7" s="1">
        <f t="shared" si="1"/>
        <v>1.537602002</v>
      </c>
      <c r="F7" s="1">
        <v>0.029</v>
      </c>
      <c r="G7" s="1">
        <f t="shared" si="2"/>
        <v>29</v>
      </c>
      <c r="H7" s="5">
        <f>(F10-F7)/(F10)*100</f>
        <v>76.61290323</v>
      </c>
      <c r="I7" s="5">
        <f t="shared" si="3"/>
        <v>6.311866428</v>
      </c>
      <c r="J7" s="1">
        <v>9.0</v>
      </c>
    </row>
    <row r="8">
      <c r="B8" s="1">
        <v>350.0</v>
      </c>
      <c r="C8" s="1">
        <v>5.995</v>
      </c>
      <c r="D8" s="1">
        <v>5.975</v>
      </c>
      <c r="E8" s="1">
        <f t="shared" si="1"/>
        <v>1.698970004</v>
      </c>
      <c r="F8" s="1">
        <v>0.02</v>
      </c>
      <c r="G8" s="1">
        <f t="shared" si="2"/>
        <v>20</v>
      </c>
      <c r="H8" s="5">
        <f>(F10-F8)/(F10)*100</f>
        <v>83.87096774</v>
      </c>
      <c r="I8" s="5">
        <f t="shared" si="3"/>
        <v>4.35301133</v>
      </c>
      <c r="J8" s="1">
        <v>12.0</v>
      </c>
    </row>
    <row r="9">
      <c r="B9" s="1">
        <v>450.0</v>
      </c>
      <c r="C9" s="1">
        <v>7.76</v>
      </c>
      <c r="D9" s="1">
        <v>7.751</v>
      </c>
      <c r="E9" s="1">
        <f t="shared" si="1"/>
        <v>2.045757491</v>
      </c>
      <c r="F9" s="1">
        <v>0.009</v>
      </c>
      <c r="G9" s="1">
        <f t="shared" si="2"/>
        <v>9</v>
      </c>
      <c r="H9" s="5">
        <f>(F10-F9)/(F10)*100</f>
        <v>92.74193548</v>
      </c>
      <c r="I9" s="5">
        <f t="shared" si="3"/>
        <v>1.958855098</v>
      </c>
      <c r="J9" s="1">
        <v>15.0</v>
      </c>
    </row>
    <row r="10">
      <c r="B10" s="1" t="s">
        <v>13</v>
      </c>
      <c r="C10" s="1">
        <v>6.546</v>
      </c>
      <c r="D10" s="1">
        <v>6.422</v>
      </c>
      <c r="E10" s="1">
        <f t="shared" si="1"/>
        <v>0.9065783148</v>
      </c>
      <c r="F10" s="1">
        <v>0.124</v>
      </c>
      <c r="G10" s="1">
        <f t="shared" si="2"/>
        <v>124</v>
      </c>
      <c r="H10" s="5"/>
      <c r="I10" s="5">
        <f t="shared" si="3"/>
        <v>26.98867024</v>
      </c>
    </row>
    <row r="12">
      <c r="B12" s="2" t="s">
        <v>32</v>
      </c>
    </row>
    <row r="13">
      <c r="B13" s="1" t="s">
        <v>4</v>
      </c>
      <c r="C13" s="1" t="s">
        <v>5</v>
      </c>
      <c r="D13" s="1" t="s">
        <v>6</v>
      </c>
      <c r="F13" s="1" t="s">
        <v>28</v>
      </c>
      <c r="G13" s="1" t="s">
        <v>16</v>
      </c>
      <c r="H13" s="1" t="s">
        <v>17</v>
      </c>
      <c r="I13" s="1" t="s">
        <v>11</v>
      </c>
    </row>
    <row r="14">
      <c r="B14" s="1">
        <v>50.0</v>
      </c>
      <c r="C14" s="1">
        <v>5.985</v>
      </c>
      <c r="D14" s="1">
        <v>5.858</v>
      </c>
      <c r="E14" s="1">
        <f t="shared" ref="E14:E19" si="4">-LOG10(F14)</f>
        <v>0.896196279</v>
      </c>
      <c r="F14" s="1">
        <f t="shared" ref="F14:F19" si="5">C14-D14</f>
        <v>0.127</v>
      </c>
      <c r="G14" s="1">
        <f t="shared" ref="G14:G19" si="6">F14*1000</f>
        <v>127</v>
      </c>
      <c r="H14" s="5">
        <f>(F19-F14)/(F19)*100</f>
        <v>47.73662551</v>
      </c>
      <c r="I14" s="5">
        <f t="shared" ref="I14:I19" si="7">(87.6*G14)/(6*17.2*7.8)</f>
        <v>13.82081097</v>
      </c>
    </row>
    <row r="15">
      <c r="B15" s="1">
        <v>150.0</v>
      </c>
      <c r="C15" s="1">
        <v>5.301</v>
      </c>
      <c r="D15" s="1">
        <v>5.233</v>
      </c>
      <c r="E15" s="1">
        <f t="shared" si="4"/>
        <v>1.167491087</v>
      </c>
      <c r="F15" s="1">
        <f t="shared" si="5"/>
        <v>0.068</v>
      </c>
      <c r="G15" s="1">
        <f t="shared" si="6"/>
        <v>68</v>
      </c>
      <c r="H15" s="5">
        <f>(F19-F15)/(F19)*100</f>
        <v>72.01646091</v>
      </c>
      <c r="I15" s="5">
        <f t="shared" si="7"/>
        <v>7.400119261</v>
      </c>
    </row>
    <row r="16">
      <c r="B16" s="1">
        <v>250.0</v>
      </c>
      <c r="C16" s="1">
        <v>6.406</v>
      </c>
      <c r="D16" s="1">
        <v>6.36</v>
      </c>
      <c r="E16" s="1">
        <f t="shared" si="4"/>
        <v>1.337242168</v>
      </c>
      <c r="F16" s="1">
        <f t="shared" si="5"/>
        <v>0.046</v>
      </c>
      <c r="G16" s="1">
        <f t="shared" si="6"/>
        <v>46</v>
      </c>
      <c r="H16" s="5">
        <f>(F19-F16)/(F19)*100</f>
        <v>81.06995885</v>
      </c>
      <c r="I16" s="5">
        <f t="shared" si="7"/>
        <v>5.005963029</v>
      </c>
    </row>
    <row r="17">
      <c r="B17" s="1">
        <v>350.0</v>
      </c>
      <c r="C17" s="1">
        <v>7.191</v>
      </c>
      <c r="D17" s="1">
        <v>7.162</v>
      </c>
      <c r="E17" s="1">
        <f t="shared" si="4"/>
        <v>1.537602002</v>
      </c>
      <c r="F17" s="1">
        <f t="shared" si="5"/>
        <v>0.029</v>
      </c>
      <c r="G17" s="1">
        <f t="shared" si="6"/>
        <v>29</v>
      </c>
      <c r="H17" s="5">
        <f>(F19-F17)/(F19)*100</f>
        <v>88.06584362</v>
      </c>
      <c r="I17" s="5">
        <f t="shared" si="7"/>
        <v>3.155933214</v>
      </c>
    </row>
    <row r="18">
      <c r="B18" s="1">
        <v>450.0</v>
      </c>
      <c r="C18" s="1">
        <v>6.349</v>
      </c>
      <c r="D18" s="1">
        <v>6.33</v>
      </c>
      <c r="E18" s="1">
        <f t="shared" si="4"/>
        <v>1.721246399</v>
      </c>
      <c r="F18" s="1">
        <f t="shared" si="5"/>
        <v>0.019</v>
      </c>
      <c r="G18" s="1">
        <f t="shared" si="6"/>
        <v>19</v>
      </c>
      <c r="H18" s="5">
        <f>(F19-F18)/(F19)*100</f>
        <v>92.18106996</v>
      </c>
      <c r="I18" s="5">
        <f t="shared" si="7"/>
        <v>2.067680382</v>
      </c>
    </row>
    <row r="19">
      <c r="B19" s="1" t="s">
        <v>13</v>
      </c>
      <c r="C19" s="1">
        <v>6.353</v>
      </c>
      <c r="D19" s="1">
        <v>6.11</v>
      </c>
      <c r="E19" s="1">
        <f t="shared" si="4"/>
        <v>0.6143937264</v>
      </c>
      <c r="F19" s="1">
        <f t="shared" si="5"/>
        <v>0.243</v>
      </c>
      <c r="G19" s="1">
        <f t="shared" si="6"/>
        <v>243</v>
      </c>
      <c r="H19" s="5"/>
      <c r="I19" s="5">
        <f t="shared" si="7"/>
        <v>26.44454383</v>
      </c>
    </row>
    <row r="21" ht="15.75" customHeight="1">
      <c r="B21" s="1" t="s">
        <v>33</v>
      </c>
    </row>
    <row r="22" ht="15.75" customHeight="1">
      <c r="B22" s="2" t="s">
        <v>4</v>
      </c>
      <c r="C22" s="2" t="s">
        <v>5</v>
      </c>
      <c r="D22" s="2" t="s">
        <v>6</v>
      </c>
      <c r="E22" s="2"/>
      <c r="F22" s="2" t="s">
        <v>28</v>
      </c>
      <c r="G22" s="2" t="s">
        <v>16</v>
      </c>
      <c r="H22" s="2" t="s">
        <v>17</v>
      </c>
      <c r="I22" s="2" t="s">
        <v>11</v>
      </c>
    </row>
    <row r="23" ht="15.75" customHeight="1">
      <c r="B23" s="1">
        <v>50.0</v>
      </c>
      <c r="C23" s="1">
        <v>5.191</v>
      </c>
      <c r="D23" s="1">
        <v>5.568</v>
      </c>
      <c r="E23" s="1">
        <f t="shared" ref="E23:E28" si="8">-LOG10(F23)</f>
        <v>0.6536470255</v>
      </c>
      <c r="F23" s="1">
        <v>0.222</v>
      </c>
      <c r="G23" s="1">
        <f t="shared" ref="G23:G28" si="9">F23*1000</f>
        <v>222</v>
      </c>
      <c r="H23" s="5">
        <f>(F28-F23)/(F28)*100</f>
        <v>44.08060453</v>
      </c>
      <c r="I23" s="5">
        <f t="shared" ref="I23:I28" si="10">(87.6*G23)/(9*17.2*7.8)</f>
        <v>16.10614192</v>
      </c>
    </row>
    <row r="24" ht="15.75" customHeight="1">
      <c r="B24" s="1">
        <v>150.0</v>
      </c>
      <c r="C24" s="1">
        <v>6.285</v>
      </c>
      <c r="D24" s="1">
        <v>6.146</v>
      </c>
      <c r="E24" s="1">
        <f t="shared" si="8"/>
        <v>0.8569851997</v>
      </c>
      <c r="F24" s="1">
        <v>0.139</v>
      </c>
      <c r="G24" s="1">
        <f t="shared" si="9"/>
        <v>139</v>
      </c>
      <c r="H24" s="5">
        <f>(F28-F24)/(F28)*100</f>
        <v>64.98740554</v>
      </c>
      <c r="I24" s="5">
        <f t="shared" si="10"/>
        <v>10.08447625</v>
      </c>
    </row>
    <row r="25" ht="15.75" customHeight="1">
      <c r="B25" s="1">
        <v>250.0</v>
      </c>
      <c r="C25" s="1">
        <v>6.59</v>
      </c>
      <c r="D25" s="1">
        <v>6.486</v>
      </c>
      <c r="E25" s="1">
        <f t="shared" si="8"/>
        <v>0.9871627753</v>
      </c>
      <c r="F25" s="1">
        <v>0.103</v>
      </c>
      <c r="G25" s="1">
        <f t="shared" si="9"/>
        <v>103</v>
      </c>
      <c r="H25" s="5">
        <f>(F28-F25)/(F28)*100</f>
        <v>74.05541562</v>
      </c>
      <c r="I25" s="5">
        <f t="shared" si="10"/>
        <v>7.472669449</v>
      </c>
    </row>
    <row r="26" ht="15.75" customHeight="1">
      <c r="B26" s="1">
        <v>350.0</v>
      </c>
      <c r="C26" s="1">
        <v>6.585</v>
      </c>
      <c r="D26" s="1">
        <v>6.506</v>
      </c>
      <c r="E26" s="1">
        <f t="shared" si="8"/>
        <v>1.102372909</v>
      </c>
      <c r="F26" s="1">
        <v>0.079</v>
      </c>
      <c r="G26" s="1">
        <f t="shared" si="9"/>
        <v>79</v>
      </c>
      <c r="H26" s="5">
        <f>(F28-F26)/(F28)*100</f>
        <v>80.10075567</v>
      </c>
      <c r="I26" s="5">
        <f t="shared" si="10"/>
        <v>5.731464918</v>
      </c>
    </row>
    <row r="27" ht="15.75" customHeight="1">
      <c r="B27" s="1">
        <v>450.0</v>
      </c>
      <c r="C27" s="1">
        <v>6.565</v>
      </c>
      <c r="D27" s="1">
        <v>6.521</v>
      </c>
      <c r="E27" s="1">
        <f t="shared" si="8"/>
        <v>1.366531544</v>
      </c>
      <c r="F27" s="1">
        <v>0.043</v>
      </c>
      <c r="G27" s="1">
        <f t="shared" si="9"/>
        <v>43</v>
      </c>
      <c r="H27" s="5">
        <f>(F28-F27)/(F28)*100</f>
        <v>89.16876574</v>
      </c>
      <c r="I27" s="5">
        <f t="shared" si="10"/>
        <v>3.11965812</v>
      </c>
    </row>
    <row r="28" ht="15.75" customHeight="1">
      <c r="B28" s="1" t="s">
        <v>13</v>
      </c>
      <c r="C28" s="1">
        <v>6.23</v>
      </c>
      <c r="D28" s="1">
        <v>5.833</v>
      </c>
      <c r="E28" s="1">
        <f t="shared" si="8"/>
        <v>0.4012094932</v>
      </c>
      <c r="F28" s="1">
        <v>0.397</v>
      </c>
      <c r="G28" s="1">
        <f t="shared" si="9"/>
        <v>397</v>
      </c>
      <c r="H28" s="5"/>
      <c r="I28" s="5">
        <f t="shared" si="10"/>
        <v>28.80242497</v>
      </c>
    </row>
    <row r="29" ht="15.75" customHeight="1"/>
    <row r="30" ht="15.75" customHeight="1">
      <c r="B30" s="1" t="s">
        <v>34</v>
      </c>
    </row>
    <row r="31" ht="15.75" customHeight="1">
      <c r="B31" s="2" t="s">
        <v>4</v>
      </c>
      <c r="C31" s="2" t="s">
        <v>5</v>
      </c>
      <c r="D31" s="2" t="s">
        <v>6</v>
      </c>
      <c r="E31" s="2"/>
      <c r="F31" s="2" t="s">
        <v>15</v>
      </c>
      <c r="G31" s="2" t="s">
        <v>16</v>
      </c>
      <c r="H31" s="2" t="s">
        <v>17</v>
      </c>
      <c r="I31" s="2" t="s">
        <v>11</v>
      </c>
    </row>
    <row r="32" ht="15.75" customHeight="1">
      <c r="B32" s="1">
        <v>50.0</v>
      </c>
      <c r="C32" s="1">
        <v>6.126</v>
      </c>
      <c r="D32" s="1">
        <v>5.743</v>
      </c>
      <c r="E32" s="1">
        <f t="shared" ref="E32:E37" si="11">-LOG10(F32)</f>
        <v>0.416801226</v>
      </c>
      <c r="F32" s="1">
        <f t="shared" ref="F32:F37" si="12">C32-D32</f>
        <v>0.383</v>
      </c>
      <c r="G32" s="1">
        <f t="shared" ref="G32:G37" si="13">F32*1000</f>
        <v>383</v>
      </c>
      <c r="H32" s="5">
        <f>(F37-F32)/(F37)*100</f>
        <v>39.01273885</v>
      </c>
      <c r="I32" s="5">
        <f t="shared" ref="I32:I37" si="14">(87.6*G32)/(12*17.2*7.8)</f>
        <v>20.84004174</v>
      </c>
    </row>
    <row r="33" ht="15.75" customHeight="1">
      <c r="B33" s="1">
        <v>150.0</v>
      </c>
      <c r="C33" s="1">
        <v>6.699</v>
      </c>
      <c r="D33" s="1">
        <v>6.454</v>
      </c>
      <c r="E33" s="1">
        <f t="shared" si="11"/>
        <v>0.6108339156</v>
      </c>
      <c r="F33" s="1">
        <f t="shared" si="12"/>
        <v>0.245</v>
      </c>
      <c r="G33" s="1">
        <f t="shared" si="13"/>
        <v>245</v>
      </c>
      <c r="H33" s="5">
        <f>(F37-F33)/(F37)*100</f>
        <v>60.98726115</v>
      </c>
      <c r="I33" s="5">
        <f t="shared" si="14"/>
        <v>13.3310972</v>
      </c>
    </row>
    <row r="34" ht="15.75" customHeight="1">
      <c r="B34" s="1">
        <v>250.0</v>
      </c>
      <c r="C34" s="1">
        <v>6.372</v>
      </c>
      <c r="D34" s="1">
        <v>6.165</v>
      </c>
      <c r="E34" s="1">
        <f t="shared" si="11"/>
        <v>0.6840296545</v>
      </c>
      <c r="F34" s="1">
        <f t="shared" si="12"/>
        <v>0.207</v>
      </c>
      <c r="G34" s="1">
        <f t="shared" si="13"/>
        <v>207</v>
      </c>
      <c r="H34" s="5">
        <f>(F37-F34)/(F37)*100</f>
        <v>67.03821656</v>
      </c>
      <c r="I34" s="5">
        <f t="shared" si="14"/>
        <v>11.26341682</v>
      </c>
    </row>
    <row r="35" ht="15.75" customHeight="1">
      <c r="B35" s="1">
        <v>350.0</v>
      </c>
      <c r="C35" s="1">
        <v>6.929</v>
      </c>
      <c r="D35" s="1">
        <v>6.778</v>
      </c>
      <c r="E35" s="1">
        <f t="shared" si="11"/>
        <v>0.8210230527</v>
      </c>
      <c r="F35" s="1">
        <f t="shared" si="12"/>
        <v>0.151</v>
      </c>
      <c r="G35" s="1">
        <f t="shared" si="13"/>
        <v>151</v>
      </c>
      <c r="H35" s="5">
        <f>(F37-F35)/(F37)*100</f>
        <v>75.95541401</v>
      </c>
      <c r="I35" s="5">
        <f t="shared" si="14"/>
        <v>8.216308885</v>
      </c>
    </row>
    <row r="36" ht="15.75" customHeight="1">
      <c r="B36" s="1">
        <v>450.0</v>
      </c>
      <c r="C36" s="1">
        <v>6.755</v>
      </c>
      <c r="D36" s="1">
        <v>6.692</v>
      </c>
      <c r="E36" s="1">
        <f t="shared" si="11"/>
        <v>1.200659451</v>
      </c>
      <c r="F36" s="1">
        <f t="shared" si="12"/>
        <v>0.063</v>
      </c>
      <c r="G36" s="1">
        <f t="shared" si="13"/>
        <v>63</v>
      </c>
      <c r="H36" s="5">
        <f>(F37-F36)/(F37)*100</f>
        <v>89.96815287</v>
      </c>
      <c r="I36" s="5">
        <f t="shared" si="14"/>
        <v>3.427996422</v>
      </c>
    </row>
    <row r="37" ht="15.75" customHeight="1">
      <c r="B37" s="1" t="s">
        <v>13</v>
      </c>
      <c r="C37" s="1">
        <v>7.746</v>
      </c>
      <c r="D37" s="1">
        <v>7.118</v>
      </c>
      <c r="E37" s="1">
        <f t="shared" si="11"/>
        <v>0.2020403563</v>
      </c>
      <c r="F37" s="1">
        <f t="shared" si="12"/>
        <v>0.628</v>
      </c>
      <c r="G37" s="1">
        <f t="shared" si="13"/>
        <v>628</v>
      </c>
      <c r="H37" s="5"/>
      <c r="I37" s="5">
        <f t="shared" si="14"/>
        <v>34.17113894</v>
      </c>
    </row>
    <row r="38" ht="15.75" customHeight="1"/>
    <row r="39" ht="15.75" customHeight="1">
      <c r="B39" s="2" t="s">
        <v>35</v>
      </c>
    </row>
    <row r="40" ht="15.75" customHeight="1">
      <c r="B40" s="2" t="s">
        <v>4</v>
      </c>
      <c r="C40" s="2" t="s">
        <v>5</v>
      </c>
      <c r="D40" s="2" t="s">
        <v>6</v>
      </c>
      <c r="E40" s="2"/>
      <c r="F40" s="2" t="s">
        <v>15</v>
      </c>
      <c r="G40" s="2" t="s">
        <v>16</v>
      </c>
      <c r="H40" s="2" t="s">
        <v>36</v>
      </c>
      <c r="I40" s="2" t="s">
        <v>11</v>
      </c>
    </row>
    <row r="41" ht="15.75" customHeight="1">
      <c r="B41" s="1">
        <v>50.0</v>
      </c>
      <c r="C41" s="1">
        <v>7.414</v>
      </c>
      <c r="D41" s="1">
        <v>7.046</v>
      </c>
      <c r="E41" s="1">
        <f t="shared" ref="E41:E46" si="15">-LOG10(F41)</f>
        <v>0.4341521813</v>
      </c>
      <c r="F41" s="1">
        <f t="shared" ref="F41:F46" si="16">C41-D41</f>
        <v>0.368</v>
      </c>
      <c r="G41" s="1">
        <f t="shared" ref="G41:G46" si="17">F41*1000</f>
        <v>368</v>
      </c>
      <c r="H41" s="5">
        <f>(F46-F41)/(F46)*100</f>
        <v>36</v>
      </c>
      <c r="I41" s="5">
        <f t="shared" ref="I41:I46" si="18"> (87.6*G41)/(15*17.2*7.8)</f>
        <v>16.01908169</v>
      </c>
    </row>
    <row r="42" ht="15.75" customHeight="1">
      <c r="B42" s="1">
        <v>150.0</v>
      </c>
      <c r="C42" s="1">
        <v>6.442</v>
      </c>
      <c r="D42" s="1">
        <v>6.212</v>
      </c>
      <c r="E42" s="1">
        <f t="shared" si="15"/>
        <v>0.638272164</v>
      </c>
      <c r="F42" s="1">
        <f t="shared" si="16"/>
        <v>0.23</v>
      </c>
      <c r="G42" s="1">
        <f t="shared" si="17"/>
        <v>230</v>
      </c>
      <c r="H42" s="5">
        <f>(F46-F42)/(F46)*100</f>
        <v>60</v>
      </c>
      <c r="I42" s="5">
        <f t="shared" si="18"/>
        <v>10.01192606</v>
      </c>
    </row>
    <row r="43" ht="15.75" customHeight="1">
      <c r="B43" s="1">
        <v>250.0</v>
      </c>
      <c r="C43" s="1">
        <v>6.365</v>
      </c>
      <c r="D43" s="1">
        <v>6.183</v>
      </c>
      <c r="E43" s="1">
        <f t="shared" si="15"/>
        <v>0.739928612</v>
      </c>
      <c r="F43" s="1">
        <f t="shared" si="16"/>
        <v>0.182</v>
      </c>
      <c r="G43" s="1">
        <f t="shared" si="17"/>
        <v>182</v>
      </c>
      <c r="H43" s="5">
        <f>(F46-F43)/(F46)*100</f>
        <v>68.34782609</v>
      </c>
      <c r="I43" s="5">
        <f t="shared" si="18"/>
        <v>7.92248062</v>
      </c>
    </row>
    <row r="44" ht="15.75" customHeight="1">
      <c r="B44" s="1">
        <v>350.0</v>
      </c>
      <c r="C44" s="1">
        <v>4.746</v>
      </c>
      <c r="D44" s="1">
        <v>4.605</v>
      </c>
      <c r="E44" s="1">
        <f t="shared" si="15"/>
        <v>0.8507808873</v>
      </c>
      <c r="F44" s="1">
        <f t="shared" si="16"/>
        <v>0.141</v>
      </c>
      <c r="G44" s="1">
        <f t="shared" si="17"/>
        <v>141</v>
      </c>
      <c r="H44" s="5">
        <f>(F46-F44)/(F46)*100</f>
        <v>75.47826087</v>
      </c>
      <c r="I44" s="5">
        <f t="shared" si="18"/>
        <v>6.137745975</v>
      </c>
    </row>
    <row r="45" ht="15.75" customHeight="1">
      <c r="B45" s="1">
        <v>450.0</v>
      </c>
      <c r="C45" s="1">
        <v>7.427</v>
      </c>
      <c r="D45" s="1">
        <v>7.338</v>
      </c>
      <c r="E45" s="1">
        <f t="shared" si="15"/>
        <v>1.050609993</v>
      </c>
      <c r="F45" s="1">
        <f t="shared" si="16"/>
        <v>0.089</v>
      </c>
      <c r="G45" s="1">
        <f t="shared" si="17"/>
        <v>89</v>
      </c>
      <c r="H45" s="5">
        <f>(F46-F45)/(F46)*100</f>
        <v>84.52173913</v>
      </c>
      <c r="I45" s="5">
        <f t="shared" si="18"/>
        <v>3.874180083</v>
      </c>
    </row>
    <row r="46" ht="15.75" customHeight="1">
      <c r="B46" s="1" t="s">
        <v>13</v>
      </c>
      <c r="C46" s="1">
        <v>4.987</v>
      </c>
      <c r="D46" s="1">
        <v>4.412</v>
      </c>
      <c r="E46" s="1">
        <f t="shared" si="15"/>
        <v>0.2403321553</v>
      </c>
      <c r="F46" s="1">
        <f t="shared" si="16"/>
        <v>0.575</v>
      </c>
      <c r="G46" s="1">
        <f t="shared" si="17"/>
        <v>575</v>
      </c>
      <c r="H46" s="5"/>
      <c r="I46" s="5">
        <f t="shared" si="18"/>
        <v>25.02981515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18.14"/>
    <col customWidth="1" min="3" max="4" width="18.71"/>
    <col customWidth="1" min="5" max="5" width="18.14"/>
    <col customWidth="1" min="6" max="9" width="8.71"/>
    <col customWidth="1" min="10" max="11" width="9.14"/>
    <col customWidth="1" min="12" max="12" width="11.86"/>
    <col customWidth="1" min="13" max="15" width="8.71"/>
    <col customWidth="1" min="16" max="16" width="11.86"/>
    <col customWidth="1" min="17" max="26" width="8.71"/>
  </cols>
  <sheetData>
    <row r="2">
      <c r="A2" s="3" t="s">
        <v>37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>
      <c r="A3" s="4" t="s">
        <v>4</v>
      </c>
      <c r="B3" s="4" t="s">
        <v>5</v>
      </c>
      <c r="C3" s="4" t="s">
        <v>6</v>
      </c>
      <c r="D3" s="4" t="s">
        <v>15</v>
      </c>
      <c r="E3" s="4" t="s">
        <v>16</v>
      </c>
      <c r="F3" s="4" t="s">
        <v>17</v>
      </c>
      <c r="G3" s="4" t="s">
        <v>38</v>
      </c>
      <c r="H3" s="4" t="s">
        <v>11</v>
      </c>
      <c r="I3" s="4" t="s">
        <v>39</v>
      </c>
      <c r="J3" s="4" t="s">
        <v>40</v>
      </c>
      <c r="K3" s="4" t="s">
        <v>41</v>
      </c>
      <c r="L3" s="4" t="s">
        <v>42</v>
      </c>
      <c r="M3" s="4" t="s">
        <v>43</v>
      </c>
      <c r="N3" s="4" t="s">
        <v>44</v>
      </c>
      <c r="O3" s="4" t="s">
        <v>45</v>
      </c>
      <c r="P3" s="4" t="s">
        <v>46</v>
      </c>
      <c r="Q3" s="4" t="s">
        <v>47</v>
      </c>
      <c r="R3" s="4" t="s">
        <v>48</v>
      </c>
    </row>
    <row r="4">
      <c r="A4" s="4">
        <v>50.0</v>
      </c>
      <c r="B4" s="4">
        <v>7.177</v>
      </c>
      <c r="C4" s="4">
        <v>7.033</v>
      </c>
      <c r="D4" s="4">
        <f t="shared" ref="D4:D9" si="1">B4-C4</f>
        <v>0.144</v>
      </c>
      <c r="E4" s="4">
        <f t="shared" ref="E4:E9" si="2">D4*1000</f>
        <v>144</v>
      </c>
      <c r="F4" s="20">
        <f>(D9-D4)/(D9)*100</f>
        <v>32.71028037</v>
      </c>
      <c r="G4" s="21">
        <f t="shared" ref="G4:G8" si="3">F4/100</f>
        <v>0.3271028037</v>
      </c>
      <c r="H4" s="20">
        <f t="shared" ref="H4:H9" si="4">(87.6*E4)/(6*17.2*7.8)</f>
        <v>15.67084079</v>
      </c>
      <c r="I4" s="4">
        <v>303.0</v>
      </c>
      <c r="J4" s="22">
        <f t="shared" ref="J4:J8" si="5">1/(I4)*1000</f>
        <v>3.300330033</v>
      </c>
      <c r="K4" s="4">
        <f t="shared" ref="K4:K9" si="6">LOG10(H4)</f>
        <v>1.195092298</v>
      </c>
      <c r="L4" s="4">
        <f t="shared" ref="L4:L8" si="7">LOG10(H4/I4)</f>
        <v>-1.28635033</v>
      </c>
      <c r="M4" s="4">
        <f t="shared" ref="M4:M8" si="8">A4/G4</f>
        <v>152.8571429</v>
      </c>
      <c r="N4" s="4">
        <f t="shared" ref="N4:N8" si="9">LOG10(A4)</f>
        <v>1.698970004</v>
      </c>
      <c r="O4" s="4">
        <f t="shared" ref="O4:O8" si="10">LOG(G4)</f>
        <v>-0.4853157333</v>
      </c>
      <c r="P4" s="4">
        <f t="shared" ref="P4:P8" si="11">LOG10(G4/(1-G4))</f>
        <v>-0.3132644521</v>
      </c>
      <c r="Q4" s="4">
        <v>303.0</v>
      </c>
      <c r="R4" s="4">
        <f t="shared" ref="R4:R8" si="12">1/Q4*1000</f>
        <v>3.300330033</v>
      </c>
    </row>
    <row r="5">
      <c r="A5" s="4">
        <v>150.0</v>
      </c>
      <c r="B5" s="4">
        <v>7.416</v>
      </c>
      <c r="C5" s="4">
        <v>7.284</v>
      </c>
      <c r="D5" s="4">
        <f t="shared" si="1"/>
        <v>0.132</v>
      </c>
      <c r="E5" s="4">
        <f t="shared" si="2"/>
        <v>132</v>
      </c>
      <c r="F5" s="20">
        <f>(D9-D5)/(D9)*100</f>
        <v>38.31775701</v>
      </c>
      <c r="G5" s="21">
        <f t="shared" si="3"/>
        <v>0.3831775701</v>
      </c>
      <c r="H5" s="20">
        <f t="shared" si="4"/>
        <v>14.36493739</v>
      </c>
      <c r="I5" s="4">
        <v>313.0</v>
      </c>
      <c r="J5" s="22">
        <f t="shared" si="5"/>
        <v>3.194888179</v>
      </c>
      <c r="K5" s="4">
        <f t="shared" si="6"/>
        <v>1.157303737</v>
      </c>
      <c r="L5" s="4">
        <f t="shared" si="7"/>
        <v>-1.3382406</v>
      </c>
      <c r="M5" s="4">
        <f t="shared" si="8"/>
        <v>391.4634146</v>
      </c>
      <c r="N5" s="4">
        <f t="shared" si="9"/>
        <v>2.176091259</v>
      </c>
      <c r="O5" s="4">
        <f t="shared" si="10"/>
        <v>-0.416599921</v>
      </c>
      <c r="P5" s="4">
        <f t="shared" si="11"/>
        <v>-0.2067600788</v>
      </c>
      <c r="Q5" s="4">
        <v>313.0</v>
      </c>
      <c r="R5" s="4">
        <f t="shared" si="12"/>
        <v>3.194888179</v>
      </c>
    </row>
    <row r="6">
      <c r="A6" s="4">
        <v>250.0</v>
      </c>
      <c r="B6" s="4">
        <v>7.095</v>
      </c>
      <c r="C6" s="4">
        <v>7.003</v>
      </c>
      <c r="D6" s="4">
        <f t="shared" si="1"/>
        <v>0.092</v>
      </c>
      <c r="E6" s="4">
        <f t="shared" si="2"/>
        <v>92</v>
      </c>
      <c r="F6" s="20">
        <f>(D9-D6)/(D9)*100</f>
        <v>57.00934579</v>
      </c>
      <c r="G6" s="21">
        <f t="shared" si="3"/>
        <v>0.5700934579</v>
      </c>
      <c r="H6" s="20">
        <f t="shared" si="4"/>
        <v>10.01192606</v>
      </c>
      <c r="I6" s="4">
        <v>323.0</v>
      </c>
      <c r="J6" s="22">
        <f t="shared" si="5"/>
        <v>3.095975232</v>
      </c>
      <c r="K6" s="4">
        <f t="shared" si="6"/>
        <v>1.000517634</v>
      </c>
      <c r="L6" s="4">
        <f t="shared" si="7"/>
        <v>-1.508684889</v>
      </c>
      <c r="M6" s="4">
        <f t="shared" si="8"/>
        <v>438.5245902</v>
      </c>
      <c r="N6" s="4">
        <f t="shared" si="9"/>
        <v>2.397940009</v>
      </c>
      <c r="O6" s="4">
        <f t="shared" si="10"/>
        <v>-0.2440539427</v>
      </c>
      <c r="P6" s="4">
        <f t="shared" si="11"/>
        <v>0.1225720033</v>
      </c>
      <c r="Q6" s="4">
        <v>323.0</v>
      </c>
      <c r="R6" s="4">
        <f t="shared" si="12"/>
        <v>3.095975232</v>
      </c>
    </row>
    <row r="7">
      <c r="A7" s="4">
        <v>350.0</v>
      </c>
      <c r="B7" s="4">
        <v>6.595</v>
      </c>
      <c r="C7" s="4">
        <v>6.558</v>
      </c>
      <c r="D7" s="4">
        <f t="shared" si="1"/>
        <v>0.037</v>
      </c>
      <c r="E7" s="4">
        <f t="shared" si="2"/>
        <v>37</v>
      </c>
      <c r="F7" s="20">
        <f>(D9-D7)/(D9)*100</f>
        <v>82.71028037</v>
      </c>
      <c r="G7" s="21">
        <f t="shared" si="3"/>
        <v>0.8271028037</v>
      </c>
      <c r="H7" s="20">
        <f t="shared" si="4"/>
        <v>4.02653548</v>
      </c>
      <c r="I7" s="4">
        <v>333.0</v>
      </c>
      <c r="J7" s="22">
        <f t="shared" si="5"/>
        <v>3.003003003</v>
      </c>
      <c r="K7" s="4">
        <f t="shared" si="6"/>
        <v>0.6049315303</v>
      </c>
      <c r="L7" s="4">
        <f t="shared" si="7"/>
        <v>-1.917512703</v>
      </c>
      <c r="M7" s="4">
        <f t="shared" si="8"/>
        <v>423.1638418</v>
      </c>
      <c r="N7" s="4">
        <f t="shared" si="9"/>
        <v>2.544068044</v>
      </c>
      <c r="O7" s="4">
        <f t="shared" si="10"/>
        <v>-0.08244050699</v>
      </c>
      <c r="P7" s="4">
        <f t="shared" si="11"/>
        <v>0.6797715423</v>
      </c>
      <c r="Q7" s="4">
        <v>333.0</v>
      </c>
      <c r="R7" s="4">
        <f t="shared" si="12"/>
        <v>3.003003003</v>
      </c>
    </row>
    <row r="8">
      <c r="A8" s="4">
        <v>450.0</v>
      </c>
      <c r="B8" s="4">
        <v>6.2976</v>
      </c>
      <c r="C8" s="4">
        <v>6.278</v>
      </c>
      <c r="D8" s="4">
        <f t="shared" si="1"/>
        <v>0.0196</v>
      </c>
      <c r="E8" s="4">
        <f t="shared" si="2"/>
        <v>19.6</v>
      </c>
      <c r="F8" s="20">
        <f>(D9-D8)/(D9)*100</f>
        <v>90.8411215</v>
      </c>
      <c r="G8" s="21">
        <f t="shared" si="3"/>
        <v>0.908411215</v>
      </c>
      <c r="H8" s="20">
        <f t="shared" si="4"/>
        <v>2.132975552</v>
      </c>
      <c r="I8" s="4">
        <v>343.0</v>
      </c>
      <c r="J8" s="22">
        <f t="shared" si="5"/>
        <v>2.915451895</v>
      </c>
      <c r="K8" s="4">
        <f t="shared" si="6"/>
        <v>0.3289858775</v>
      </c>
      <c r="L8" s="4">
        <f t="shared" si="7"/>
        <v>-2.206308242</v>
      </c>
      <c r="M8" s="4">
        <f t="shared" si="8"/>
        <v>495.3703704</v>
      </c>
      <c r="N8" s="4">
        <f t="shared" si="9"/>
        <v>2.653212514</v>
      </c>
      <c r="O8" s="4">
        <f t="shared" si="10"/>
        <v>-0.04171751276</v>
      </c>
      <c r="P8" s="4">
        <f t="shared" si="11"/>
        <v>0.9964401892</v>
      </c>
      <c r="Q8" s="4">
        <v>343.0</v>
      </c>
      <c r="R8" s="4">
        <f t="shared" si="12"/>
        <v>2.915451895</v>
      </c>
    </row>
    <row r="9">
      <c r="A9" s="4" t="s">
        <v>13</v>
      </c>
      <c r="B9" s="4">
        <v>6.923</v>
      </c>
      <c r="C9" s="4">
        <v>6.709</v>
      </c>
      <c r="D9" s="4">
        <f t="shared" si="1"/>
        <v>0.214</v>
      </c>
      <c r="E9" s="4">
        <f t="shared" si="2"/>
        <v>214</v>
      </c>
      <c r="F9" s="20"/>
      <c r="G9" s="20"/>
      <c r="H9" s="20">
        <f t="shared" si="4"/>
        <v>23.28861061</v>
      </c>
      <c r="I9" s="4"/>
      <c r="J9" s="4"/>
      <c r="K9" s="4">
        <f t="shared" si="6"/>
        <v>1.36714358</v>
      </c>
      <c r="L9" s="4"/>
      <c r="M9" s="4"/>
      <c r="N9" s="4"/>
      <c r="O9" s="4"/>
      <c r="P9" s="4"/>
      <c r="Q9" s="4"/>
      <c r="R9" s="4"/>
    </row>
    <row r="10">
      <c r="A10" s="4" t="s">
        <v>49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</row>
    <row r="11">
      <c r="A11" s="23" t="s">
        <v>4</v>
      </c>
      <c r="B11" s="24" t="s">
        <v>5</v>
      </c>
      <c r="C11" s="24" t="s">
        <v>6</v>
      </c>
      <c r="D11" s="24" t="s">
        <v>28</v>
      </c>
      <c r="E11" s="25" t="s">
        <v>16</v>
      </c>
      <c r="F11" s="25" t="s">
        <v>17</v>
      </c>
      <c r="G11" s="25" t="s">
        <v>38</v>
      </c>
      <c r="H11" s="25" t="s">
        <v>11</v>
      </c>
      <c r="I11" s="4" t="s">
        <v>39</v>
      </c>
      <c r="J11" s="4" t="s">
        <v>40</v>
      </c>
      <c r="K11" s="4" t="s">
        <v>41</v>
      </c>
      <c r="L11" s="4" t="s">
        <v>42</v>
      </c>
      <c r="M11" s="4" t="s">
        <v>43</v>
      </c>
      <c r="N11" s="4" t="s">
        <v>44</v>
      </c>
      <c r="O11" s="4" t="s">
        <v>45</v>
      </c>
      <c r="P11" s="4" t="s">
        <v>50</v>
      </c>
      <c r="Q11" s="4"/>
      <c r="R11" s="4"/>
    </row>
    <row r="12">
      <c r="A12" s="10">
        <v>50.0</v>
      </c>
      <c r="B12" s="11">
        <v>5.927</v>
      </c>
      <c r="C12" s="11">
        <v>5.614</v>
      </c>
      <c r="D12" s="11">
        <v>0.313</v>
      </c>
      <c r="E12" s="4">
        <f t="shared" ref="E12:E17" si="13">D12*1000</f>
        <v>313</v>
      </c>
      <c r="F12" s="20">
        <f>(D17-D12)/(D17)*100</f>
        <v>31.05726872</v>
      </c>
      <c r="G12" s="21">
        <f t="shared" ref="G12:G16" si="14">F12/100</f>
        <v>0.3105726872</v>
      </c>
      <c r="H12" s="20">
        <f t="shared" ref="H12:H17" si="15">(87.6*E12)/(6*17.2*7.8)</f>
        <v>34.06231366</v>
      </c>
      <c r="I12" s="4">
        <v>303.0</v>
      </c>
      <c r="J12" s="22">
        <f t="shared" ref="J12:J16" si="16">1/I12*1000</f>
        <v>3.300330033</v>
      </c>
      <c r="K12" s="4">
        <f t="shared" ref="K12:K17" si="17">LOG10(H12)</f>
        <v>1.532274144</v>
      </c>
      <c r="L12" s="4">
        <f t="shared" ref="L12:L16" si="18">LOG10(H12/I4)</f>
        <v>-0.9491684848</v>
      </c>
      <c r="M12" s="4">
        <f t="shared" ref="M12:M16" si="19">A12/G12</f>
        <v>160.9929078</v>
      </c>
      <c r="N12" s="4">
        <f t="shared" ref="N12:N16" si="20">LOG10(A12)</f>
        <v>1.698970004</v>
      </c>
      <c r="O12" s="4">
        <f t="shared" ref="O12:O16" si="21">LOG10(G12)</f>
        <v>-0.5078367402</v>
      </c>
      <c r="P12" s="4">
        <f t="shared" ref="P12:P16" si="22">LOG10(G12/(1-G12))</f>
        <v>-0.3463252249</v>
      </c>
      <c r="Q12" s="4"/>
      <c r="R12" s="4"/>
    </row>
    <row r="13">
      <c r="A13" s="10">
        <v>150.0</v>
      </c>
      <c r="B13" s="11">
        <v>6.02</v>
      </c>
      <c r="C13" s="11">
        <v>5.725</v>
      </c>
      <c r="D13" s="11">
        <v>0.295</v>
      </c>
      <c r="E13" s="4">
        <f t="shared" si="13"/>
        <v>295</v>
      </c>
      <c r="F13" s="20">
        <f>(D17-D13)/(D17)*100</f>
        <v>35.02202643</v>
      </c>
      <c r="G13" s="21">
        <f t="shared" si="14"/>
        <v>0.3502202643</v>
      </c>
      <c r="H13" s="20">
        <f t="shared" si="15"/>
        <v>32.10345856</v>
      </c>
      <c r="I13" s="4">
        <v>313.0</v>
      </c>
      <c r="J13" s="22">
        <f t="shared" si="16"/>
        <v>3.194888179</v>
      </c>
      <c r="K13" s="4">
        <f t="shared" si="17"/>
        <v>1.506551822</v>
      </c>
      <c r="L13" s="4">
        <f t="shared" si="18"/>
        <v>-0.9889925154</v>
      </c>
      <c r="M13" s="4">
        <f t="shared" si="19"/>
        <v>428.3018868</v>
      </c>
      <c r="N13" s="4">
        <f t="shared" si="20"/>
        <v>2.176091259</v>
      </c>
      <c r="O13" s="4">
        <f t="shared" si="21"/>
        <v>-0.4556587285</v>
      </c>
      <c r="P13" s="4">
        <f t="shared" si="22"/>
        <v>-0.2684248917</v>
      </c>
      <c r="Q13" s="4"/>
      <c r="R13" s="4"/>
    </row>
    <row r="14">
      <c r="A14" s="10">
        <v>250.0</v>
      </c>
      <c r="B14" s="11">
        <v>6.181</v>
      </c>
      <c r="C14" s="11">
        <v>5.981</v>
      </c>
      <c r="D14" s="11">
        <v>0.2</v>
      </c>
      <c r="E14" s="4">
        <f t="shared" si="13"/>
        <v>200</v>
      </c>
      <c r="F14" s="20">
        <f>(D17-D14)/(D17)*100</f>
        <v>55.94713656</v>
      </c>
      <c r="G14" s="21">
        <f t="shared" si="14"/>
        <v>0.5594713656</v>
      </c>
      <c r="H14" s="20">
        <f t="shared" si="15"/>
        <v>21.76505665</v>
      </c>
      <c r="I14" s="4">
        <v>323.0</v>
      </c>
      <c r="J14" s="22">
        <f t="shared" si="16"/>
        <v>3.095975232</v>
      </c>
      <c r="K14" s="4">
        <f t="shared" si="17"/>
        <v>1.337759802</v>
      </c>
      <c r="L14" s="4">
        <f t="shared" si="18"/>
        <v>-1.17144272</v>
      </c>
      <c r="M14" s="4">
        <f t="shared" si="19"/>
        <v>446.8503937</v>
      </c>
      <c r="N14" s="4">
        <f t="shared" si="20"/>
        <v>2.397940009</v>
      </c>
      <c r="O14" s="4">
        <f t="shared" si="21"/>
        <v>-0.2522221362</v>
      </c>
      <c r="P14" s="4">
        <f t="shared" si="22"/>
        <v>0.103803721</v>
      </c>
      <c r="Q14" s="4"/>
      <c r="R14" s="4"/>
    </row>
    <row r="15">
      <c r="A15" s="10">
        <v>350.0</v>
      </c>
      <c r="B15" s="11">
        <v>6.415</v>
      </c>
      <c r="C15" s="11">
        <v>6.351</v>
      </c>
      <c r="D15" s="11">
        <v>0.1</v>
      </c>
      <c r="E15" s="4">
        <f t="shared" si="13"/>
        <v>100</v>
      </c>
      <c r="F15" s="20">
        <f>(D17-D15)/(D17)*100</f>
        <v>77.97356828</v>
      </c>
      <c r="G15" s="21">
        <f t="shared" si="14"/>
        <v>0.7797356828</v>
      </c>
      <c r="H15" s="20">
        <f t="shared" si="15"/>
        <v>10.88252832</v>
      </c>
      <c r="I15" s="4">
        <v>333.0</v>
      </c>
      <c r="J15" s="22">
        <f t="shared" si="16"/>
        <v>3.003003003</v>
      </c>
      <c r="K15" s="4">
        <f t="shared" si="17"/>
        <v>1.036729806</v>
      </c>
      <c r="L15" s="4">
        <f t="shared" si="18"/>
        <v>-1.485714427</v>
      </c>
      <c r="M15" s="4">
        <f t="shared" si="19"/>
        <v>448.8700565</v>
      </c>
      <c r="N15" s="4">
        <f t="shared" si="20"/>
        <v>2.544068044</v>
      </c>
      <c r="O15" s="4">
        <f t="shared" si="21"/>
        <v>-0.1080525908</v>
      </c>
      <c r="P15" s="4">
        <f t="shared" si="22"/>
        <v>0.549003262</v>
      </c>
      <c r="Q15" s="4"/>
      <c r="R15" s="4"/>
    </row>
    <row r="16">
      <c r="A16" s="10">
        <v>450.0</v>
      </c>
      <c r="B16" s="11">
        <v>5.625</v>
      </c>
      <c r="C16" s="11">
        <v>5.536</v>
      </c>
      <c r="D16" s="11">
        <v>0.0912</v>
      </c>
      <c r="E16" s="4">
        <f t="shared" si="13"/>
        <v>91.2</v>
      </c>
      <c r="F16" s="20">
        <f>(D17-D16)/(D17)*100</f>
        <v>79.91189427</v>
      </c>
      <c r="G16" s="21">
        <f t="shared" si="14"/>
        <v>0.7991189427</v>
      </c>
      <c r="H16" s="20">
        <f t="shared" si="15"/>
        <v>9.924865832</v>
      </c>
      <c r="I16" s="4">
        <v>343.0</v>
      </c>
      <c r="J16" s="22">
        <f t="shared" si="16"/>
        <v>2.915451895</v>
      </c>
      <c r="K16" s="4">
        <f t="shared" si="17"/>
        <v>0.9967246445</v>
      </c>
      <c r="L16" s="4">
        <f t="shared" si="18"/>
        <v>-1.538569476</v>
      </c>
      <c r="M16" s="4">
        <f t="shared" si="19"/>
        <v>563.1201764</v>
      </c>
      <c r="N16" s="4">
        <f t="shared" si="20"/>
        <v>2.653212514</v>
      </c>
      <c r="O16" s="4">
        <f t="shared" si="21"/>
        <v>-0.09738857447</v>
      </c>
      <c r="P16" s="4">
        <f t="shared" si="22"/>
        <v>0.5996724401</v>
      </c>
      <c r="Q16" s="4"/>
      <c r="R16" s="4"/>
    </row>
    <row r="17">
      <c r="A17" s="10" t="s">
        <v>13</v>
      </c>
      <c r="B17" s="11">
        <v>6.438</v>
      </c>
      <c r="C17" s="11">
        <v>5.984</v>
      </c>
      <c r="D17" s="11">
        <v>0.454</v>
      </c>
      <c r="E17" s="4">
        <f t="shared" si="13"/>
        <v>454</v>
      </c>
      <c r="F17" s="20"/>
      <c r="G17" s="20"/>
      <c r="H17" s="20">
        <f t="shared" si="15"/>
        <v>49.40667859</v>
      </c>
      <c r="I17" s="4"/>
      <c r="J17" s="4"/>
      <c r="K17" s="4">
        <f t="shared" si="17"/>
        <v>1.693785659</v>
      </c>
      <c r="L17" s="4"/>
      <c r="M17" s="4"/>
      <c r="N17" s="4"/>
      <c r="O17" s="4"/>
      <c r="P17" s="4"/>
      <c r="Q17" s="4"/>
      <c r="R17" s="4"/>
    </row>
    <row r="18">
      <c r="A18" s="26"/>
      <c r="B18" s="26"/>
      <c r="C18" s="26"/>
      <c r="D18" s="26"/>
      <c r="E18" s="4"/>
      <c r="F18" s="20"/>
      <c r="G18" s="20"/>
      <c r="H18" s="20"/>
      <c r="I18" s="4"/>
      <c r="J18" s="4"/>
      <c r="K18" s="4"/>
      <c r="L18" s="4"/>
      <c r="M18" s="4"/>
      <c r="N18" s="4"/>
      <c r="O18" s="4"/>
      <c r="P18" s="4"/>
      <c r="Q18" s="4"/>
      <c r="R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</row>
    <row r="20">
      <c r="A20" s="4" t="s">
        <v>51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</row>
    <row r="21" ht="15.75" customHeight="1">
      <c r="A21" s="4" t="s">
        <v>4</v>
      </c>
      <c r="B21" s="4" t="s">
        <v>5</v>
      </c>
      <c r="C21" s="4" t="s">
        <v>6</v>
      </c>
      <c r="D21" s="4" t="s">
        <v>28</v>
      </c>
      <c r="E21" s="4" t="s">
        <v>29</v>
      </c>
      <c r="F21" s="4" t="s">
        <v>36</v>
      </c>
      <c r="G21" s="4" t="s">
        <v>38</v>
      </c>
      <c r="H21" s="4" t="s">
        <v>11</v>
      </c>
      <c r="I21" s="4" t="s">
        <v>52</v>
      </c>
      <c r="J21" s="4" t="s">
        <v>40</v>
      </c>
      <c r="K21" s="4" t="s">
        <v>41</v>
      </c>
      <c r="L21" s="4" t="s">
        <v>42</v>
      </c>
      <c r="M21" s="4" t="s">
        <v>43</v>
      </c>
      <c r="N21" s="4" t="s">
        <v>44</v>
      </c>
      <c r="O21" s="4" t="s">
        <v>45</v>
      </c>
      <c r="P21" s="4" t="s">
        <v>53</v>
      </c>
      <c r="Q21" s="4"/>
      <c r="R21" s="4"/>
    </row>
    <row r="22" ht="15.75" customHeight="1">
      <c r="A22" s="4">
        <v>50.0</v>
      </c>
      <c r="B22" s="4">
        <v>6.451</v>
      </c>
      <c r="C22" s="4">
        <v>5.911</v>
      </c>
      <c r="D22" s="4">
        <v>0.54</v>
      </c>
      <c r="E22" s="4">
        <f t="shared" ref="E22:E27" si="23">D22*1000</f>
        <v>540</v>
      </c>
      <c r="F22" s="20">
        <f>(D27-D22)/(D27)*100</f>
        <v>21.96531792</v>
      </c>
      <c r="G22" s="21">
        <f t="shared" ref="G22:G26" si="24">F22/100</f>
        <v>0.2196531792</v>
      </c>
      <c r="H22" s="20">
        <f t="shared" ref="H22:H27" si="25">(87.6*E22)/(6*17.2*7.8)</f>
        <v>58.76565295</v>
      </c>
      <c r="I22" s="4">
        <v>303.0</v>
      </c>
      <c r="J22" s="22">
        <f t="shared" ref="J22:J26" si="26">1/I22*1000</f>
        <v>3.300330033</v>
      </c>
      <c r="K22" s="4">
        <f t="shared" ref="K22:K27" si="27">LOG10(H22)</f>
        <v>1.769123566</v>
      </c>
      <c r="L22" s="4">
        <f t="shared" ref="L22:L26" si="28">LOG10(H22/I22)</f>
        <v>-0.7123190625</v>
      </c>
      <c r="M22" s="4">
        <f t="shared" ref="M22:M26" si="29">A22/G22</f>
        <v>227.6315789</v>
      </c>
      <c r="N22" s="4">
        <f t="shared" ref="N22:N26" si="30">LOG10(A22)</f>
        <v>1.698970004</v>
      </c>
      <c r="O22" s="4">
        <f t="shared" ref="O22:O26" si="31">LOG10(G22)</f>
        <v>-0.6582625065</v>
      </c>
      <c r="P22" s="4">
        <f t="shared" ref="P22:P26" si="32">LOG10(G22/(1-G22))</f>
        <v>-0.5505501719</v>
      </c>
      <c r="Q22" s="4"/>
      <c r="R22" s="4"/>
    </row>
    <row r="23" ht="15.75" customHeight="1">
      <c r="A23" s="4">
        <v>150.0</v>
      </c>
      <c r="B23" s="4">
        <v>6.181</v>
      </c>
      <c r="C23" s="4">
        <v>5.648</v>
      </c>
      <c r="D23" s="4">
        <v>0.533</v>
      </c>
      <c r="E23" s="4">
        <f t="shared" si="23"/>
        <v>533</v>
      </c>
      <c r="F23" s="20">
        <f>(D27-D23)/(D27)*100</f>
        <v>22.97687861</v>
      </c>
      <c r="G23" s="21">
        <f t="shared" si="24"/>
        <v>0.2297687861</v>
      </c>
      <c r="H23" s="20">
        <f t="shared" si="25"/>
        <v>58.00387597</v>
      </c>
      <c r="I23" s="4">
        <v>313.0</v>
      </c>
      <c r="J23" s="22">
        <f t="shared" si="26"/>
        <v>3.194888179</v>
      </c>
      <c r="K23" s="4">
        <f t="shared" si="27"/>
        <v>1.763457015</v>
      </c>
      <c r="L23" s="4">
        <f t="shared" si="28"/>
        <v>-0.7320873223</v>
      </c>
      <c r="M23" s="4">
        <f t="shared" si="29"/>
        <v>652.8301887</v>
      </c>
      <c r="N23" s="4">
        <f t="shared" si="30"/>
        <v>2.176091259</v>
      </c>
      <c r="O23" s="4">
        <f t="shared" si="31"/>
        <v>-0.6387089701</v>
      </c>
      <c r="P23" s="4">
        <f t="shared" si="32"/>
        <v>-0.5253300847</v>
      </c>
      <c r="Q23" s="4"/>
      <c r="R23" s="4"/>
    </row>
    <row r="24" ht="15.75" customHeight="1">
      <c r="A24" s="4">
        <v>250.0</v>
      </c>
      <c r="B24" s="4">
        <v>7.263</v>
      </c>
      <c r="C24" s="4">
        <v>6.841</v>
      </c>
      <c r="D24" s="4">
        <v>0.422</v>
      </c>
      <c r="E24" s="4">
        <f t="shared" si="23"/>
        <v>422</v>
      </c>
      <c r="F24" s="20">
        <f>(D27-D24)/(D27)*100</f>
        <v>39.01734104</v>
      </c>
      <c r="G24" s="21">
        <f t="shared" si="24"/>
        <v>0.3901734104</v>
      </c>
      <c r="H24" s="20">
        <f t="shared" si="25"/>
        <v>45.92426953</v>
      </c>
      <c r="I24" s="4">
        <v>323.0</v>
      </c>
      <c r="J24" s="22">
        <f t="shared" si="26"/>
        <v>3.095975232</v>
      </c>
      <c r="K24" s="4">
        <f t="shared" si="27"/>
        <v>1.662042257</v>
      </c>
      <c r="L24" s="4">
        <f t="shared" si="28"/>
        <v>-0.8471602652</v>
      </c>
      <c r="M24" s="4">
        <f t="shared" si="29"/>
        <v>640.7407407</v>
      </c>
      <c r="N24" s="4">
        <f t="shared" si="30"/>
        <v>2.397940009</v>
      </c>
      <c r="O24" s="4">
        <f t="shared" si="31"/>
        <v>-0.4087423303</v>
      </c>
      <c r="P24" s="4">
        <f t="shared" si="32"/>
        <v>-0.1939486868</v>
      </c>
      <c r="Q24" s="4"/>
      <c r="R24" s="4"/>
    </row>
    <row r="25" ht="15.75" customHeight="1">
      <c r="A25" s="4">
        <v>350.0</v>
      </c>
      <c r="B25" s="4">
        <v>6.54</v>
      </c>
      <c r="C25" s="4">
        <v>6.215</v>
      </c>
      <c r="D25" s="4">
        <v>0.325</v>
      </c>
      <c r="E25" s="4">
        <f t="shared" si="23"/>
        <v>325</v>
      </c>
      <c r="F25" s="20">
        <f>(D27-D25)/(D27)*100</f>
        <v>53.03468208</v>
      </c>
      <c r="G25" s="21">
        <f t="shared" si="24"/>
        <v>0.5303468208</v>
      </c>
      <c r="H25" s="20">
        <f t="shared" si="25"/>
        <v>35.36821705</v>
      </c>
      <c r="I25" s="4">
        <v>333.0</v>
      </c>
      <c r="J25" s="22">
        <f t="shared" si="26"/>
        <v>3.003003003</v>
      </c>
      <c r="K25" s="4">
        <f t="shared" si="27"/>
        <v>1.548613167</v>
      </c>
      <c r="L25" s="4">
        <f t="shared" si="28"/>
        <v>-0.9738310663</v>
      </c>
      <c r="M25" s="4">
        <f t="shared" si="29"/>
        <v>659.9455041</v>
      </c>
      <c r="N25" s="4">
        <f t="shared" si="30"/>
        <v>2.544068044</v>
      </c>
      <c r="O25" s="4">
        <f t="shared" si="31"/>
        <v>-0.2754400302</v>
      </c>
      <c r="P25" s="4">
        <f t="shared" si="32"/>
        <v>0.05278270327</v>
      </c>
      <c r="Q25" s="4"/>
      <c r="R25" s="4"/>
    </row>
    <row r="26" ht="15.75" customHeight="1">
      <c r="A26" s="4">
        <v>450.0</v>
      </c>
      <c r="B26" s="4">
        <v>6.86</v>
      </c>
      <c r="C26" s="4">
        <v>6.611</v>
      </c>
      <c r="D26" s="4">
        <v>0.249</v>
      </c>
      <c r="E26" s="4">
        <f t="shared" si="23"/>
        <v>249</v>
      </c>
      <c r="F26" s="20">
        <f>(D27-D26)/(D27)*100</f>
        <v>64.01734104</v>
      </c>
      <c r="G26" s="21">
        <f t="shared" si="24"/>
        <v>0.6401734104</v>
      </c>
      <c r="H26" s="20">
        <f t="shared" si="25"/>
        <v>27.09749553</v>
      </c>
      <c r="I26" s="4">
        <v>343.0</v>
      </c>
      <c r="J26" s="22">
        <f t="shared" si="26"/>
        <v>2.915451895</v>
      </c>
      <c r="K26" s="4">
        <f t="shared" si="27"/>
        <v>1.432929153</v>
      </c>
      <c r="L26" s="4">
        <f t="shared" si="28"/>
        <v>-1.102364967</v>
      </c>
      <c r="M26" s="4">
        <f t="shared" si="29"/>
        <v>702.9345372</v>
      </c>
      <c r="N26" s="4">
        <f t="shared" si="30"/>
        <v>2.653212514</v>
      </c>
      <c r="O26" s="4">
        <f t="shared" si="31"/>
        <v>-0.1937023682</v>
      </c>
      <c r="P26" s="4">
        <f t="shared" si="32"/>
        <v>0.2502043791</v>
      </c>
      <c r="Q26" s="4"/>
      <c r="R26" s="4"/>
    </row>
    <row r="27" ht="15.75" customHeight="1">
      <c r="A27" s="4" t="s">
        <v>13</v>
      </c>
      <c r="B27" s="4">
        <v>5.919</v>
      </c>
      <c r="C27" s="4">
        <v>5.227</v>
      </c>
      <c r="D27" s="4">
        <v>0.692</v>
      </c>
      <c r="E27" s="4">
        <f t="shared" si="23"/>
        <v>692</v>
      </c>
      <c r="F27" s="20"/>
      <c r="G27" s="20"/>
      <c r="H27" s="20">
        <f t="shared" si="25"/>
        <v>75.307096</v>
      </c>
      <c r="I27" s="4"/>
      <c r="J27" s="4"/>
      <c r="K27" s="4">
        <f t="shared" si="27"/>
        <v>1.876835901</v>
      </c>
      <c r="L27" s="4"/>
      <c r="M27" s="4"/>
      <c r="N27" s="4"/>
      <c r="O27" s="4"/>
      <c r="P27" s="4"/>
      <c r="Q27" s="4"/>
      <c r="R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</row>
    <row r="29" ht="15.75" customHeight="1">
      <c r="A29" s="4" t="s">
        <v>54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</row>
    <row r="30" ht="15.75" customHeight="1">
      <c r="A30" s="4" t="s">
        <v>4</v>
      </c>
      <c r="B30" s="4" t="s">
        <v>5</v>
      </c>
      <c r="C30" s="4" t="s">
        <v>6</v>
      </c>
      <c r="D30" s="4" t="s">
        <v>28</v>
      </c>
      <c r="E30" s="4" t="s">
        <v>16</v>
      </c>
      <c r="F30" s="4" t="s">
        <v>17</v>
      </c>
      <c r="G30" s="4" t="s">
        <v>38</v>
      </c>
      <c r="H30" s="4" t="s">
        <v>11</v>
      </c>
      <c r="I30" s="4" t="s">
        <v>52</v>
      </c>
      <c r="J30" s="4" t="s">
        <v>40</v>
      </c>
      <c r="K30" s="4" t="s">
        <v>41</v>
      </c>
      <c r="L30" s="4" t="s">
        <v>42</v>
      </c>
      <c r="M30" s="4" t="s">
        <v>43</v>
      </c>
      <c r="N30" s="4" t="s">
        <v>44</v>
      </c>
      <c r="O30" s="4" t="s">
        <v>45</v>
      </c>
      <c r="P30" s="4" t="s">
        <v>53</v>
      </c>
      <c r="Q30" s="4"/>
      <c r="R30" s="4"/>
    </row>
    <row r="31" ht="15.75" customHeight="1">
      <c r="A31" s="4">
        <v>50.0</v>
      </c>
      <c r="B31" s="4">
        <v>5.941</v>
      </c>
      <c r="C31" s="4">
        <v>5.001</v>
      </c>
      <c r="D31" s="4">
        <v>0.936</v>
      </c>
      <c r="E31" s="4">
        <f t="shared" ref="E31:E36" si="33">D31*1000</f>
        <v>936</v>
      </c>
      <c r="F31" s="20">
        <f>(D36-D31)/(D36)*100</f>
        <v>18.96103896</v>
      </c>
      <c r="G31" s="21">
        <f t="shared" ref="G31:G35" si="34">F31/100</f>
        <v>0.1896103896</v>
      </c>
      <c r="H31" s="20">
        <f t="shared" ref="H31:H36" si="35">(87.6*E31)/(6*17.2*7.8)</f>
        <v>101.8604651</v>
      </c>
      <c r="I31" s="4">
        <v>303.0</v>
      </c>
      <c r="J31" s="4">
        <f t="shared" ref="J31:J35" si="36">1/I31*1000</f>
        <v>3.300330033</v>
      </c>
      <c r="K31" s="4">
        <f t="shared" ref="K31:K36" si="37">LOG10(H31)</f>
        <v>2.008005655</v>
      </c>
      <c r="L31" s="4">
        <f t="shared" ref="L31:L35" si="38">LOG10(H31/I31)</f>
        <v>-0.4734369736</v>
      </c>
      <c r="M31" s="4">
        <f t="shared" ref="M31:M35" si="39">A31/G31</f>
        <v>263.6986301</v>
      </c>
      <c r="N31" s="4">
        <f t="shared" ref="N31:N35" si="40">LOG10(A31)</f>
        <v>1.698970004</v>
      </c>
      <c r="O31" s="4">
        <f t="shared" ref="O31:O35" si="41">LOG10(G31)</f>
        <v>-0.7221378694</v>
      </c>
      <c r="P31" s="4">
        <f t="shared" ref="P31:P35" si="42">LOG10(G31/(1-G31))</f>
        <v>-0.6308317339</v>
      </c>
      <c r="Q31" s="4"/>
      <c r="R31" s="4"/>
    </row>
    <row r="32" ht="15.75" customHeight="1">
      <c r="A32" s="4">
        <v>150.0</v>
      </c>
      <c r="B32" s="4">
        <v>5.489</v>
      </c>
      <c r="C32" s="4">
        <v>4.565</v>
      </c>
      <c r="D32" s="4">
        <v>0.924</v>
      </c>
      <c r="E32" s="4">
        <f t="shared" si="33"/>
        <v>924</v>
      </c>
      <c r="F32" s="20">
        <f>(D36-D32)/(D36)*100</f>
        <v>20</v>
      </c>
      <c r="G32" s="21">
        <f t="shared" si="34"/>
        <v>0.2</v>
      </c>
      <c r="H32" s="20">
        <f t="shared" si="35"/>
        <v>100.5545617</v>
      </c>
      <c r="I32" s="4">
        <v>313.0</v>
      </c>
      <c r="J32" s="4">
        <f t="shared" si="36"/>
        <v>3.194888179</v>
      </c>
      <c r="K32" s="4">
        <f t="shared" si="37"/>
        <v>2.002401777</v>
      </c>
      <c r="L32" s="4">
        <f t="shared" si="38"/>
        <v>-0.4931425601</v>
      </c>
      <c r="M32" s="4">
        <f t="shared" si="39"/>
        <v>750</v>
      </c>
      <c r="N32" s="4">
        <f t="shared" si="40"/>
        <v>2.176091259</v>
      </c>
      <c r="O32" s="4">
        <f t="shared" si="41"/>
        <v>-0.6989700043</v>
      </c>
      <c r="P32" s="4">
        <f t="shared" si="42"/>
        <v>-0.6020599913</v>
      </c>
      <c r="Q32" s="4"/>
      <c r="R32" s="4"/>
    </row>
    <row r="33" ht="15.75" customHeight="1">
      <c r="A33" s="4">
        <v>250.0</v>
      </c>
      <c r="B33" s="4">
        <v>6.969</v>
      </c>
      <c r="C33" s="4">
        <v>6.172</v>
      </c>
      <c r="D33" s="4">
        <v>0.797</v>
      </c>
      <c r="E33" s="4">
        <f t="shared" si="33"/>
        <v>797</v>
      </c>
      <c r="F33" s="20">
        <f>(D36-D33)/(D36)*100</f>
        <v>30.995671</v>
      </c>
      <c r="G33" s="21">
        <f t="shared" si="34"/>
        <v>0.30995671</v>
      </c>
      <c r="H33" s="20">
        <f t="shared" si="35"/>
        <v>86.73375075</v>
      </c>
      <c r="I33" s="4">
        <v>323.0</v>
      </c>
      <c r="J33" s="4">
        <f t="shared" si="36"/>
        <v>3.095975232</v>
      </c>
      <c r="K33" s="4">
        <f t="shared" si="37"/>
        <v>1.938188128</v>
      </c>
      <c r="L33" s="4">
        <f t="shared" si="38"/>
        <v>-0.5710143947</v>
      </c>
      <c r="M33" s="4">
        <f t="shared" si="39"/>
        <v>806.5642458</v>
      </c>
      <c r="N33" s="4">
        <f t="shared" si="40"/>
        <v>2.397940009</v>
      </c>
      <c r="O33" s="4">
        <f t="shared" si="41"/>
        <v>-0.5086989576</v>
      </c>
      <c r="P33" s="4">
        <f t="shared" si="42"/>
        <v>-0.3475752948</v>
      </c>
      <c r="Q33" s="4"/>
      <c r="R33" s="4"/>
    </row>
    <row r="34" ht="15.75" customHeight="1">
      <c r="A34" s="4">
        <v>350.0</v>
      </c>
      <c r="B34" s="4">
        <v>6.167</v>
      </c>
      <c r="C34" s="4">
        <v>5.485</v>
      </c>
      <c r="D34" s="4">
        <v>0.681</v>
      </c>
      <c r="E34" s="4">
        <f t="shared" si="33"/>
        <v>681</v>
      </c>
      <c r="F34" s="20">
        <f>(D36-D34)/(D36)*100</f>
        <v>41.03896104</v>
      </c>
      <c r="G34" s="21">
        <f t="shared" si="34"/>
        <v>0.4103896104</v>
      </c>
      <c r="H34" s="20">
        <f t="shared" si="35"/>
        <v>74.11001789</v>
      </c>
      <c r="I34" s="4">
        <v>333.0</v>
      </c>
      <c r="J34" s="4">
        <f t="shared" si="36"/>
        <v>3.003003003</v>
      </c>
      <c r="K34" s="4">
        <f t="shared" si="37"/>
        <v>1.869876918</v>
      </c>
      <c r="L34" s="4">
        <f t="shared" si="38"/>
        <v>-0.6525673154</v>
      </c>
      <c r="M34" s="4">
        <f t="shared" si="39"/>
        <v>852.8481013</v>
      </c>
      <c r="N34" s="4">
        <f t="shared" si="40"/>
        <v>2.544068044</v>
      </c>
      <c r="O34" s="4">
        <f t="shared" si="41"/>
        <v>-0.3868036426</v>
      </c>
      <c r="P34" s="4">
        <f t="shared" si="42"/>
        <v>-0.1573687702</v>
      </c>
      <c r="Q34" s="4"/>
      <c r="R34" s="4"/>
    </row>
    <row r="35" ht="15.75" customHeight="1">
      <c r="A35" s="4">
        <v>450.0</v>
      </c>
      <c r="B35" s="4">
        <v>6.974</v>
      </c>
      <c r="C35" s="4">
        <v>6.35</v>
      </c>
      <c r="D35" s="4">
        <v>0.624</v>
      </c>
      <c r="E35" s="4">
        <f t="shared" si="33"/>
        <v>624</v>
      </c>
      <c r="F35" s="20">
        <f>(D36-D35)/(D36)*100</f>
        <v>45.97402597</v>
      </c>
      <c r="G35" s="21">
        <f t="shared" si="34"/>
        <v>0.4597402597</v>
      </c>
      <c r="H35" s="20">
        <f t="shared" si="35"/>
        <v>67.90697674</v>
      </c>
      <c r="I35" s="4">
        <v>343.0</v>
      </c>
      <c r="J35" s="4">
        <f t="shared" si="36"/>
        <v>2.915451895</v>
      </c>
      <c r="K35" s="4">
        <f t="shared" si="37"/>
        <v>1.831914396</v>
      </c>
      <c r="L35" s="4">
        <f t="shared" si="38"/>
        <v>-0.7033797242</v>
      </c>
      <c r="M35" s="4">
        <f t="shared" si="39"/>
        <v>978.8135593</v>
      </c>
      <c r="N35" s="4">
        <f t="shared" si="40"/>
        <v>2.653212514</v>
      </c>
      <c r="O35" s="4">
        <f t="shared" si="41"/>
        <v>-0.3374874631</v>
      </c>
      <c r="P35" s="4">
        <f t="shared" si="42"/>
        <v>-0.0700900686</v>
      </c>
      <c r="Q35" s="4"/>
      <c r="R35" s="4"/>
    </row>
    <row r="36" ht="15.75" customHeight="1">
      <c r="A36" s="4" t="s">
        <v>13</v>
      </c>
      <c r="B36" s="4">
        <v>5.854</v>
      </c>
      <c r="C36" s="4">
        <v>4.699</v>
      </c>
      <c r="D36" s="4">
        <v>1.155</v>
      </c>
      <c r="E36" s="4">
        <f t="shared" si="33"/>
        <v>1155</v>
      </c>
      <c r="F36" s="4"/>
      <c r="G36" s="4"/>
      <c r="H36" s="20">
        <f t="shared" si="35"/>
        <v>125.6932021</v>
      </c>
      <c r="I36" s="4"/>
      <c r="J36" s="4"/>
      <c r="K36" s="4">
        <f t="shared" si="37"/>
        <v>2.09931179</v>
      </c>
      <c r="L36" s="4"/>
      <c r="M36" s="4"/>
      <c r="N36" s="4"/>
      <c r="O36" s="4"/>
      <c r="P36" s="4"/>
      <c r="Q36" s="4"/>
      <c r="R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</row>
    <row r="38" ht="15.75" customHeight="1">
      <c r="A38" s="4" t="s">
        <v>55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</row>
    <row r="39" ht="15.75" customHeight="1">
      <c r="A39" s="4" t="s">
        <v>4</v>
      </c>
      <c r="B39" s="4" t="s">
        <v>5</v>
      </c>
      <c r="C39" s="4" t="s">
        <v>6</v>
      </c>
      <c r="D39" s="4" t="s">
        <v>28</v>
      </c>
      <c r="E39" s="4" t="s">
        <v>29</v>
      </c>
      <c r="F39" s="4" t="s">
        <v>17</v>
      </c>
      <c r="G39" s="4" t="s">
        <v>38</v>
      </c>
      <c r="H39" s="4" t="s">
        <v>11</v>
      </c>
      <c r="I39" s="4" t="s">
        <v>52</v>
      </c>
      <c r="J39" s="4" t="s">
        <v>40</v>
      </c>
      <c r="K39" s="4" t="s">
        <v>41</v>
      </c>
      <c r="L39" s="4" t="s">
        <v>42</v>
      </c>
      <c r="M39" s="4" t="s">
        <v>43</v>
      </c>
      <c r="N39" s="4" t="s">
        <v>44</v>
      </c>
      <c r="O39" s="4" t="s">
        <v>45</v>
      </c>
      <c r="P39" s="4" t="s">
        <v>53</v>
      </c>
      <c r="Q39" s="4"/>
      <c r="R39" s="4"/>
    </row>
    <row r="40" ht="15.75" customHeight="1">
      <c r="A40" s="4">
        <v>50.0</v>
      </c>
      <c r="B40" s="4">
        <v>7.846</v>
      </c>
      <c r="C40" s="4">
        <v>6.309</v>
      </c>
      <c r="D40" s="4">
        <v>1.537</v>
      </c>
      <c r="E40" s="4">
        <f t="shared" ref="E40:E45" si="43">D40*1000</f>
        <v>1537</v>
      </c>
      <c r="F40" s="20">
        <f>(D45-D40)/(D45)*100</f>
        <v>13.06561086</v>
      </c>
      <c r="G40" s="21">
        <f t="shared" ref="G40:G44" si="44">F40/100</f>
        <v>0.1306561086</v>
      </c>
      <c r="H40" s="20">
        <f t="shared" ref="H40:H45" si="45">(87.6*E40)/(6*17.2*7.8)</f>
        <v>167.2644603</v>
      </c>
      <c r="I40" s="4">
        <v>303.0</v>
      </c>
      <c r="J40" s="4">
        <f t="shared" ref="J40:J44" si="46">1/I40*1000</f>
        <v>3.300330033</v>
      </c>
      <c r="K40" s="4">
        <f t="shared" ref="K40:K45" si="47">LOG10(H40)</f>
        <v>2.223403674</v>
      </c>
      <c r="L40" s="4">
        <f t="shared" ref="L40:L44" si="48">LOG10(H40/I40)</f>
        <v>-0.2580389548</v>
      </c>
      <c r="M40" s="4">
        <f t="shared" ref="M40:M44" si="49">A40/G40</f>
        <v>382.6839827</v>
      </c>
      <c r="N40" s="4">
        <f t="shared" ref="N40:N44" si="50">LOG10(A40)</f>
        <v>1.698970004</v>
      </c>
      <c r="O40" s="4">
        <f t="shared" ref="O40:O44" si="51">LOG10(G40)</f>
        <v>-0.8838702808</v>
      </c>
      <c r="P40" s="4">
        <f t="shared" ref="P40:P44" si="52">LOG10(G40/(1-G40))</f>
        <v>-0.8230618876</v>
      </c>
      <c r="Q40" s="4"/>
      <c r="R40" s="4"/>
    </row>
    <row r="41" ht="15.75" customHeight="1">
      <c r="A41" s="4">
        <v>150.0</v>
      </c>
      <c r="B41" s="4">
        <v>5.628</v>
      </c>
      <c r="C41" s="4">
        <v>4.09</v>
      </c>
      <c r="D41" s="4">
        <v>1.538</v>
      </c>
      <c r="E41" s="4">
        <f t="shared" si="43"/>
        <v>1538</v>
      </c>
      <c r="F41" s="20">
        <f>(D45-D41)/(D45)*100</f>
        <v>13.00904977</v>
      </c>
      <c r="G41" s="21">
        <f t="shared" si="44"/>
        <v>0.1300904977</v>
      </c>
      <c r="H41" s="20">
        <f t="shared" si="45"/>
        <v>167.3732856</v>
      </c>
      <c r="I41" s="4">
        <v>313.0</v>
      </c>
      <c r="J41" s="4">
        <f t="shared" si="46"/>
        <v>3.194888179</v>
      </c>
      <c r="K41" s="4">
        <f t="shared" si="47"/>
        <v>2.223686142</v>
      </c>
      <c r="L41" s="4">
        <f t="shared" si="48"/>
        <v>-0.2718581959</v>
      </c>
      <c r="M41" s="4">
        <f t="shared" si="49"/>
        <v>1153.043478</v>
      </c>
      <c r="N41" s="4">
        <f t="shared" si="50"/>
        <v>2.176091259</v>
      </c>
      <c r="O41" s="4">
        <f t="shared" si="51"/>
        <v>-0.8857544247</v>
      </c>
      <c r="P41" s="4">
        <f t="shared" si="52"/>
        <v>-0.8252284994</v>
      </c>
      <c r="Q41" s="4"/>
      <c r="R41" s="4"/>
    </row>
    <row r="42" ht="15.75" customHeight="1">
      <c r="A42" s="4">
        <v>250.0</v>
      </c>
      <c r="B42" s="4">
        <v>5.69</v>
      </c>
      <c r="C42" s="4">
        <v>4.258</v>
      </c>
      <c r="D42" s="4">
        <v>1.432</v>
      </c>
      <c r="E42" s="4">
        <f t="shared" si="43"/>
        <v>1432</v>
      </c>
      <c r="F42" s="20">
        <f>(D45-D42)/(D45)*100</f>
        <v>19.00452489</v>
      </c>
      <c r="G42" s="21">
        <f t="shared" si="44"/>
        <v>0.1900452489</v>
      </c>
      <c r="H42" s="20">
        <f t="shared" si="45"/>
        <v>155.8378056</v>
      </c>
      <c r="I42" s="4">
        <v>323.0</v>
      </c>
      <c r="J42" s="4">
        <f t="shared" si="46"/>
        <v>3.095975232</v>
      </c>
      <c r="K42" s="4">
        <f t="shared" si="47"/>
        <v>2.192672824</v>
      </c>
      <c r="L42" s="4">
        <f t="shared" si="48"/>
        <v>-0.3165296982</v>
      </c>
      <c r="M42" s="4">
        <f t="shared" si="49"/>
        <v>1315.47619</v>
      </c>
      <c r="N42" s="4">
        <f t="shared" si="50"/>
        <v>2.397940009</v>
      </c>
      <c r="O42" s="4">
        <f t="shared" si="51"/>
        <v>-0.7211429833</v>
      </c>
      <c r="P42" s="4">
        <f t="shared" si="52"/>
        <v>-0.6296037406</v>
      </c>
      <c r="Q42" s="4"/>
      <c r="R42" s="4"/>
    </row>
    <row r="43" ht="15.75" customHeight="1">
      <c r="A43" s="4">
        <v>350.0</v>
      </c>
      <c r="B43" s="4">
        <v>6.054</v>
      </c>
      <c r="C43" s="4">
        <v>4.781</v>
      </c>
      <c r="D43" s="4">
        <v>1.273</v>
      </c>
      <c r="E43" s="4">
        <f t="shared" si="43"/>
        <v>1273</v>
      </c>
      <c r="F43" s="20">
        <f>(D45-D43)/(D45)*100</f>
        <v>27.99773756</v>
      </c>
      <c r="G43" s="21">
        <f t="shared" si="44"/>
        <v>0.2799773756</v>
      </c>
      <c r="H43" s="20">
        <f t="shared" si="45"/>
        <v>138.5345856</v>
      </c>
      <c r="I43" s="4">
        <v>333.0</v>
      </c>
      <c r="J43" s="4">
        <f t="shared" si="46"/>
        <v>3.003003003</v>
      </c>
      <c r="K43" s="4">
        <f t="shared" si="47"/>
        <v>2.14155821</v>
      </c>
      <c r="L43" s="4">
        <f t="shared" si="48"/>
        <v>-0.3808860237</v>
      </c>
      <c r="M43" s="4">
        <f t="shared" si="49"/>
        <v>1250.10101</v>
      </c>
      <c r="N43" s="4">
        <f t="shared" si="50"/>
        <v>2.544068044</v>
      </c>
      <c r="O43" s="4">
        <f t="shared" si="51"/>
        <v>-0.5528770617</v>
      </c>
      <c r="P43" s="4">
        <f t="shared" si="52"/>
        <v>-0.4102232047</v>
      </c>
      <c r="Q43" s="4"/>
      <c r="R43" s="4"/>
    </row>
    <row r="44" ht="15.75" customHeight="1">
      <c r="A44" s="4">
        <v>450.0</v>
      </c>
      <c r="B44" s="4">
        <v>6.098</v>
      </c>
      <c r="C44" s="4">
        <v>4.878</v>
      </c>
      <c r="D44" s="4">
        <v>1.22</v>
      </c>
      <c r="E44" s="4">
        <f t="shared" si="43"/>
        <v>1220</v>
      </c>
      <c r="F44" s="20">
        <f>(D45-D44)/(D45)*100</f>
        <v>30.99547511</v>
      </c>
      <c r="G44" s="21">
        <f t="shared" si="44"/>
        <v>0.3099547511</v>
      </c>
      <c r="H44" s="20">
        <f t="shared" si="45"/>
        <v>132.7668456</v>
      </c>
      <c r="I44" s="4">
        <v>343.0</v>
      </c>
      <c r="J44" s="4">
        <f t="shared" si="46"/>
        <v>2.915451895</v>
      </c>
      <c r="K44" s="4">
        <f t="shared" si="47"/>
        <v>2.123089637</v>
      </c>
      <c r="L44" s="4">
        <f t="shared" si="48"/>
        <v>-0.4122044832</v>
      </c>
      <c r="M44" s="4">
        <f t="shared" si="49"/>
        <v>1451.824818</v>
      </c>
      <c r="N44" s="4">
        <f t="shared" si="50"/>
        <v>2.653212514</v>
      </c>
      <c r="O44" s="4">
        <f t="shared" si="51"/>
        <v>-0.5087017022</v>
      </c>
      <c r="P44" s="4">
        <f t="shared" si="52"/>
        <v>-0.3475792722</v>
      </c>
      <c r="Q44" s="4"/>
      <c r="R44" s="4"/>
    </row>
    <row r="45" ht="15.75" customHeight="1">
      <c r="A45" s="4" t="s">
        <v>13</v>
      </c>
      <c r="B45" s="4">
        <v>6.453</v>
      </c>
      <c r="C45" s="4">
        <v>4.685</v>
      </c>
      <c r="D45" s="4">
        <v>1.768</v>
      </c>
      <c r="E45" s="4">
        <f t="shared" si="43"/>
        <v>1768</v>
      </c>
      <c r="F45" s="20"/>
      <c r="G45" s="20"/>
      <c r="H45" s="20">
        <f t="shared" si="45"/>
        <v>192.4031008</v>
      </c>
      <c r="I45" s="4"/>
      <c r="J45" s="4"/>
      <c r="K45" s="4">
        <f t="shared" si="47"/>
        <v>2.284212067</v>
      </c>
      <c r="L45" s="4"/>
      <c r="M45" s="4"/>
      <c r="N45" s="4"/>
      <c r="O45" s="4"/>
      <c r="P45" s="4"/>
      <c r="Q45" s="4"/>
      <c r="R45" s="4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57"/>
    <col customWidth="1" min="2" max="2" width="18.29"/>
    <col customWidth="1" min="3" max="3" width="18.0"/>
    <col customWidth="1" min="4" max="4" width="18.29"/>
    <col customWidth="1" min="5" max="5" width="18.57"/>
    <col customWidth="1" min="6" max="7" width="8.71"/>
    <col customWidth="1" min="8" max="8" width="13.86"/>
    <col customWidth="1" min="9" max="11" width="8.71"/>
    <col customWidth="1" min="12" max="12" width="14.0"/>
    <col customWidth="1" min="13" max="15" width="8.71"/>
    <col customWidth="1" min="16" max="16" width="14.86"/>
    <col customWidth="1" min="17" max="26" width="8.71"/>
  </cols>
  <sheetData>
    <row r="1">
      <c r="A1" s="1" t="s">
        <v>56</v>
      </c>
    </row>
    <row r="2">
      <c r="A2" s="4" t="s">
        <v>4</v>
      </c>
      <c r="B2" s="4" t="s">
        <v>5</v>
      </c>
      <c r="C2" s="4" t="s">
        <v>6</v>
      </c>
      <c r="D2" s="4" t="s">
        <v>15</v>
      </c>
      <c r="E2" s="4" t="s">
        <v>16</v>
      </c>
      <c r="F2" s="4" t="s">
        <v>17</v>
      </c>
      <c r="G2" s="4" t="s">
        <v>38</v>
      </c>
      <c r="H2" s="4" t="s">
        <v>25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  <c r="O2" s="1" t="s">
        <v>45</v>
      </c>
      <c r="P2" s="1" t="s">
        <v>46</v>
      </c>
    </row>
    <row r="3">
      <c r="A3" s="4">
        <v>50.0</v>
      </c>
      <c r="B3" s="4">
        <v>7.703</v>
      </c>
      <c r="C3" s="4">
        <v>7.106</v>
      </c>
      <c r="D3" s="4">
        <f t="shared" ref="D3:D8" si="1">B3-C3</f>
        <v>0.597</v>
      </c>
      <c r="E3" s="4">
        <f t="shared" ref="E3:E8" si="2">D3*1000</f>
        <v>597</v>
      </c>
      <c r="F3" s="20">
        <f>(D8-D3)/(D8)*100</f>
        <v>34.96732026</v>
      </c>
      <c r="G3" s="21">
        <f t="shared" ref="G3:G7" si="3">F3/100</f>
        <v>0.3496732026</v>
      </c>
      <c r="H3" s="20">
        <f t="shared" ref="H3:H8" si="4">(87.6*E3)/(6*17.2*7.8)</f>
        <v>64.9686941</v>
      </c>
      <c r="I3" s="1">
        <v>303.0</v>
      </c>
      <c r="J3" s="1">
        <f t="shared" ref="J3:J7" si="5">1/(I3)*1000</f>
        <v>3.300330033</v>
      </c>
      <c r="K3" s="1">
        <f t="shared" ref="K3:K8" si="6">LOG10(H3)</f>
        <v>1.812704137</v>
      </c>
      <c r="L3" s="1">
        <f t="shared" ref="L3:L7" si="7">LOG10(H3/I3)</f>
        <v>-0.6687384912</v>
      </c>
      <c r="M3" s="1">
        <f t="shared" ref="M3:M7" si="8">A3/G3</f>
        <v>142.9906542</v>
      </c>
      <c r="N3" s="1">
        <f t="shared" ref="N3:N7" si="9">LOG10(A3)</f>
        <v>1.698970004</v>
      </c>
      <c r="O3" s="1">
        <f t="shared" ref="O3:O7" si="10">LOG(G3)</f>
        <v>-0.4563376488</v>
      </c>
      <c r="P3" s="1">
        <f t="shared" ref="P3:P7" si="11">LOG10(G3/(1-G3))</f>
        <v>-0.2694692987</v>
      </c>
    </row>
    <row r="4">
      <c r="A4" s="4">
        <v>150.0</v>
      </c>
      <c r="B4" s="4">
        <v>7.667</v>
      </c>
      <c r="C4" s="4">
        <v>7.097</v>
      </c>
      <c r="D4" s="4">
        <f t="shared" si="1"/>
        <v>0.57</v>
      </c>
      <c r="E4" s="4">
        <f t="shared" si="2"/>
        <v>570</v>
      </c>
      <c r="F4" s="20">
        <f>(D8-D4)/(D8)*100</f>
        <v>37.90849673</v>
      </c>
      <c r="G4" s="21">
        <f t="shared" si="3"/>
        <v>0.3790849673</v>
      </c>
      <c r="H4" s="20">
        <f t="shared" si="4"/>
        <v>62.03041145</v>
      </c>
      <c r="I4" s="1">
        <v>313.0</v>
      </c>
      <c r="J4" s="1">
        <f t="shared" si="5"/>
        <v>3.194888179</v>
      </c>
      <c r="K4" s="1">
        <f t="shared" si="6"/>
        <v>1.792604662</v>
      </c>
      <c r="L4" s="1">
        <f t="shared" si="7"/>
        <v>-0.7029396757</v>
      </c>
      <c r="M4" s="1">
        <f t="shared" si="8"/>
        <v>395.6896552</v>
      </c>
      <c r="N4" s="1">
        <f t="shared" si="9"/>
        <v>2.176091259</v>
      </c>
      <c r="O4" s="1">
        <f t="shared" si="10"/>
        <v>-0.4212634373</v>
      </c>
      <c r="P4" s="1">
        <f t="shared" si="11"/>
        <v>-0.2142956117</v>
      </c>
    </row>
    <row r="5">
      <c r="A5" s="4">
        <v>250.0</v>
      </c>
      <c r="B5" s="4">
        <v>6.623</v>
      </c>
      <c r="C5" s="4">
        <v>6.32</v>
      </c>
      <c r="D5" s="4">
        <f t="shared" si="1"/>
        <v>0.303</v>
      </c>
      <c r="E5" s="4">
        <f t="shared" si="2"/>
        <v>303</v>
      </c>
      <c r="F5" s="20">
        <f>(D8-D5)/(D8)*100</f>
        <v>66.99346405</v>
      </c>
      <c r="G5" s="21">
        <f t="shared" si="3"/>
        <v>0.6699346405</v>
      </c>
      <c r="H5" s="20">
        <f t="shared" si="4"/>
        <v>32.97406082</v>
      </c>
      <c r="I5" s="1">
        <v>323.0</v>
      </c>
      <c r="J5" s="1">
        <f t="shared" si="5"/>
        <v>3.095975232</v>
      </c>
      <c r="K5" s="1">
        <f t="shared" si="6"/>
        <v>1.518172435</v>
      </c>
      <c r="L5" s="1">
        <f t="shared" si="7"/>
        <v>-0.9910300876</v>
      </c>
      <c r="M5" s="1">
        <f t="shared" si="8"/>
        <v>373.1707317</v>
      </c>
      <c r="N5" s="1">
        <f t="shared" si="9"/>
        <v>2.397940009</v>
      </c>
      <c r="O5" s="1">
        <f t="shared" si="10"/>
        <v>-0.1739675654</v>
      </c>
      <c r="P5" s="1">
        <f t="shared" si="11"/>
        <v>0.3074324873</v>
      </c>
    </row>
    <row r="6">
      <c r="A6" s="4">
        <v>350.0</v>
      </c>
      <c r="B6" s="4">
        <v>6.214</v>
      </c>
      <c r="C6" s="4">
        <v>5.975</v>
      </c>
      <c r="D6" s="4">
        <f t="shared" si="1"/>
        <v>0.239</v>
      </c>
      <c r="E6" s="4">
        <f t="shared" si="2"/>
        <v>239</v>
      </c>
      <c r="F6" s="20">
        <f>(D8-D6)/(D8)*100</f>
        <v>73.96514161</v>
      </c>
      <c r="G6" s="21">
        <f t="shared" si="3"/>
        <v>0.7396514161</v>
      </c>
      <c r="H6" s="20">
        <f t="shared" si="4"/>
        <v>26.0092427</v>
      </c>
      <c r="I6" s="1">
        <v>333.0</v>
      </c>
      <c r="J6" s="1">
        <f t="shared" si="5"/>
        <v>3.003003003</v>
      </c>
      <c r="K6" s="1">
        <f t="shared" si="6"/>
        <v>1.415127707</v>
      </c>
      <c r="L6" s="1">
        <f t="shared" si="7"/>
        <v>-1.107316526</v>
      </c>
      <c r="M6" s="1">
        <f t="shared" si="8"/>
        <v>473.1958763</v>
      </c>
      <c r="N6" s="1">
        <f t="shared" si="9"/>
        <v>2.544068044</v>
      </c>
      <c r="O6" s="1">
        <f t="shared" si="10"/>
        <v>-0.1309729069</v>
      </c>
      <c r="P6" s="1">
        <f t="shared" si="11"/>
        <v>0.4534718733</v>
      </c>
    </row>
    <row r="7">
      <c r="A7" s="4">
        <v>450.0</v>
      </c>
      <c r="B7" s="4">
        <v>6.158</v>
      </c>
      <c r="C7" s="4">
        <v>6.02</v>
      </c>
      <c r="D7" s="4">
        <f t="shared" si="1"/>
        <v>0.138</v>
      </c>
      <c r="E7" s="4">
        <f t="shared" si="2"/>
        <v>138</v>
      </c>
      <c r="F7" s="20">
        <f>(D8-D7)/(D8)*100</f>
        <v>84.96732026</v>
      </c>
      <c r="G7" s="21">
        <f t="shared" si="3"/>
        <v>0.8496732026</v>
      </c>
      <c r="H7" s="20">
        <f t="shared" si="4"/>
        <v>15.01788909</v>
      </c>
      <c r="I7" s="1">
        <v>343.0</v>
      </c>
      <c r="J7" s="1">
        <f t="shared" si="5"/>
        <v>2.915451895</v>
      </c>
      <c r="K7" s="1">
        <f t="shared" si="6"/>
        <v>1.176608893</v>
      </c>
      <c r="L7" s="1">
        <f t="shared" si="7"/>
        <v>-1.358685227</v>
      </c>
      <c r="M7" s="1">
        <f t="shared" si="8"/>
        <v>529.6153846</v>
      </c>
      <c r="N7" s="1">
        <f t="shared" si="9"/>
        <v>2.653212514</v>
      </c>
      <c r="O7" s="1">
        <f t="shared" si="10"/>
        <v>-0.07074807851</v>
      </c>
      <c r="P7" s="1">
        <f t="shared" si="11"/>
        <v>0.7522155163</v>
      </c>
    </row>
    <row r="8">
      <c r="A8" s="4" t="s">
        <v>13</v>
      </c>
      <c r="B8" s="4">
        <v>6.186</v>
      </c>
      <c r="C8" s="4">
        <v>5.268</v>
      </c>
      <c r="D8" s="4">
        <f t="shared" si="1"/>
        <v>0.918</v>
      </c>
      <c r="E8" s="4">
        <f t="shared" si="2"/>
        <v>918</v>
      </c>
      <c r="F8" s="20"/>
      <c r="G8" s="20"/>
      <c r="H8" s="20">
        <f t="shared" si="4"/>
        <v>99.90161002</v>
      </c>
      <c r="K8" s="1">
        <f t="shared" si="6"/>
        <v>1.999572487</v>
      </c>
    </row>
    <row r="10">
      <c r="A10" s="1" t="s">
        <v>57</v>
      </c>
    </row>
    <row r="11">
      <c r="A11" s="1" t="s">
        <v>4</v>
      </c>
      <c r="B11" s="1" t="s">
        <v>5</v>
      </c>
      <c r="C11" s="1" t="s">
        <v>6</v>
      </c>
      <c r="D11" s="1" t="s">
        <v>28</v>
      </c>
      <c r="E11" s="1" t="s">
        <v>16</v>
      </c>
      <c r="F11" s="1" t="s">
        <v>17</v>
      </c>
      <c r="G11" s="1" t="s">
        <v>38</v>
      </c>
      <c r="H11" s="1" t="s">
        <v>11</v>
      </c>
      <c r="I11" s="1" t="s">
        <v>39</v>
      </c>
      <c r="J11" s="1" t="s">
        <v>40</v>
      </c>
      <c r="K11" s="1" t="s">
        <v>41</v>
      </c>
      <c r="L11" s="1" t="s">
        <v>42</v>
      </c>
      <c r="M11" s="1" t="s">
        <v>43</v>
      </c>
      <c r="N11" s="1" t="s">
        <v>44</v>
      </c>
      <c r="O11" s="1" t="s">
        <v>45</v>
      </c>
      <c r="P11" s="1" t="s">
        <v>50</v>
      </c>
    </row>
    <row r="12">
      <c r="A12" s="1">
        <v>50.0</v>
      </c>
      <c r="B12" s="1">
        <v>5.82</v>
      </c>
      <c r="C12" s="1">
        <v>5.484</v>
      </c>
      <c r="D12" s="1">
        <v>0.336</v>
      </c>
      <c r="E12" s="1">
        <f t="shared" ref="E12:E17" si="12">D12*1000</f>
        <v>336</v>
      </c>
      <c r="F12" s="5">
        <f>(D17-D12)/(D17)*100</f>
        <v>33.98821218</v>
      </c>
      <c r="G12" s="18">
        <f t="shared" ref="G12:G16" si="13">F12/100</f>
        <v>0.3398821218</v>
      </c>
      <c r="H12" s="5">
        <f t="shared" ref="H12:H17" si="14">(87.6*E12)/(6*17.2*7.8)</f>
        <v>36.56529517</v>
      </c>
      <c r="I12" s="1">
        <v>303.0</v>
      </c>
      <c r="J12" s="1">
        <f t="shared" ref="J12:J16" si="15">1/(I12)*1000</f>
        <v>3.300330033</v>
      </c>
      <c r="K12" s="1">
        <f t="shared" ref="K12:K17" si="16">LOG10(H12)</f>
        <v>1.563069084</v>
      </c>
      <c r="L12" s="1">
        <f t="shared" ref="L12:L16" si="17">LOG10(H12/I12)</f>
        <v>-0.9183735449</v>
      </c>
      <c r="M12" s="1">
        <f t="shared" ref="M12:M16" si="18">A12/G12</f>
        <v>147.1098266</v>
      </c>
      <c r="N12" s="1">
        <f t="shared" ref="N12:N16" si="19">LOG10(A12)</f>
        <v>1.698970004</v>
      </c>
      <c r="O12" s="1">
        <f t="shared" ref="O12:O16" si="20">LOG10(G12)</f>
        <v>-0.4686716792</v>
      </c>
      <c r="P12" s="1">
        <f t="shared" ref="P12:P16" si="21">LOG10(G12/(1-G12))</f>
        <v>-0.2882931743</v>
      </c>
    </row>
    <row r="13">
      <c r="A13" s="1">
        <v>150.0</v>
      </c>
      <c r="B13" s="1">
        <v>7.38</v>
      </c>
      <c r="C13" s="1">
        <v>7.046</v>
      </c>
      <c r="D13" s="1">
        <v>0.334</v>
      </c>
      <c r="E13" s="1">
        <f t="shared" si="12"/>
        <v>334</v>
      </c>
      <c r="F13" s="5">
        <f>(D17-D13)/(D17)*100</f>
        <v>34.38113949</v>
      </c>
      <c r="G13" s="18">
        <f t="shared" si="13"/>
        <v>0.3438113949</v>
      </c>
      <c r="H13" s="5">
        <f t="shared" si="14"/>
        <v>36.3476446</v>
      </c>
      <c r="I13" s="1">
        <v>313.0</v>
      </c>
      <c r="J13" s="1">
        <f t="shared" si="15"/>
        <v>3.194888179</v>
      </c>
      <c r="K13" s="1">
        <f t="shared" si="16"/>
        <v>1.560476273</v>
      </c>
      <c r="L13" s="1">
        <f t="shared" si="17"/>
        <v>-0.9350680645</v>
      </c>
      <c r="M13" s="1">
        <f t="shared" si="18"/>
        <v>436.2857143</v>
      </c>
      <c r="N13" s="1">
        <f t="shared" si="19"/>
        <v>2.176091259</v>
      </c>
      <c r="O13" s="1">
        <f t="shared" si="20"/>
        <v>-0.4636797337</v>
      </c>
      <c r="P13" s="1">
        <f t="shared" si="21"/>
        <v>-0.2807084181</v>
      </c>
    </row>
    <row r="14">
      <c r="A14" s="1">
        <v>250.0</v>
      </c>
      <c r="B14" s="1">
        <v>6.282</v>
      </c>
      <c r="C14" s="1">
        <v>6.109</v>
      </c>
      <c r="D14" s="1">
        <v>0.173</v>
      </c>
      <c r="E14" s="1">
        <f t="shared" si="12"/>
        <v>173</v>
      </c>
      <c r="F14" s="5">
        <f>(D17-D14)/(D17)*100</f>
        <v>66.01178782</v>
      </c>
      <c r="G14" s="18">
        <f t="shared" si="13"/>
        <v>0.6601178782</v>
      </c>
      <c r="H14" s="5">
        <f t="shared" si="14"/>
        <v>18.826774</v>
      </c>
      <c r="I14" s="1">
        <v>323.0</v>
      </c>
      <c r="J14" s="1">
        <f t="shared" si="15"/>
        <v>3.095975232</v>
      </c>
      <c r="K14" s="1">
        <f t="shared" si="16"/>
        <v>1.274775909</v>
      </c>
      <c r="L14" s="1">
        <f t="shared" si="17"/>
        <v>-1.234426613</v>
      </c>
      <c r="M14" s="1">
        <f t="shared" si="18"/>
        <v>378.7202381</v>
      </c>
      <c r="N14" s="1">
        <f t="shared" si="19"/>
        <v>2.397940009</v>
      </c>
      <c r="O14" s="1">
        <f t="shared" si="20"/>
        <v>-0.1803785049</v>
      </c>
      <c r="P14" s="1">
        <f t="shared" si="21"/>
        <v>0.2882931743</v>
      </c>
    </row>
    <row r="15">
      <c r="A15" s="1">
        <v>350.0</v>
      </c>
      <c r="B15" s="1">
        <v>7.043</v>
      </c>
      <c r="C15" s="1">
        <v>6.897</v>
      </c>
      <c r="D15" s="1">
        <v>0.146</v>
      </c>
      <c r="E15" s="1">
        <f t="shared" si="12"/>
        <v>146</v>
      </c>
      <c r="F15" s="5">
        <f>(D17-D15)/(D17)*100</f>
        <v>71.31630648</v>
      </c>
      <c r="G15" s="18">
        <f t="shared" si="13"/>
        <v>0.7131630648</v>
      </c>
      <c r="H15" s="5">
        <f t="shared" si="14"/>
        <v>15.88849135</v>
      </c>
      <c r="I15" s="1">
        <v>333.0</v>
      </c>
      <c r="J15" s="1">
        <f t="shared" si="15"/>
        <v>3.003003003</v>
      </c>
      <c r="K15" s="1">
        <f t="shared" si="16"/>
        <v>1.201082662</v>
      </c>
      <c r="L15" s="1">
        <f t="shared" si="17"/>
        <v>-1.321361572</v>
      </c>
      <c r="M15" s="1">
        <f t="shared" si="18"/>
        <v>490.7713499</v>
      </c>
      <c r="N15" s="1">
        <f t="shared" si="19"/>
        <v>2.544068044</v>
      </c>
      <c r="O15" s="1">
        <f t="shared" si="20"/>
        <v>-0.1468111573</v>
      </c>
      <c r="P15" s="1">
        <f t="shared" si="21"/>
        <v>0.3955537693</v>
      </c>
    </row>
    <row r="16">
      <c r="A16" s="1">
        <v>450.0</v>
      </c>
      <c r="B16" s="1">
        <v>6.368</v>
      </c>
      <c r="C16" s="1">
        <v>6.266</v>
      </c>
      <c r="D16" s="1">
        <v>0.102</v>
      </c>
      <c r="E16" s="1">
        <f t="shared" si="12"/>
        <v>102</v>
      </c>
      <c r="F16" s="5">
        <f>(D17-D16)/(D17)*100</f>
        <v>79.96070727</v>
      </c>
      <c r="G16" s="18">
        <f t="shared" si="13"/>
        <v>0.7996070727</v>
      </c>
      <c r="H16" s="5">
        <f t="shared" si="14"/>
        <v>11.10017889</v>
      </c>
      <c r="I16" s="1">
        <v>343.0</v>
      </c>
      <c r="J16" s="1">
        <f t="shared" si="15"/>
        <v>2.915451895</v>
      </c>
      <c r="K16" s="1">
        <f t="shared" si="16"/>
        <v>1.045329978</v>
      </c>
      <c r="L16" s="1">
        <f t="shared" si="17"/>
        <v>-1.489964142</v>
      </c>
      <c r="M16" s="1">
        <f t="shared" si="18"/>
        <v>562.7764128</v>
      </c>
      <c r="N16" s="1">
        <f t="shared" si="19"/>
        <v>2.653212514</v>
      </c>
      <c r="O16" s="1">
        <f t="shared" si="20"/>
        <v>-0.09712337311</v>
      </c>
      <c r="P16" s="1">
        <f t="shared" si="21"/>
        <v>0.6009942375</v>
      </c>
    </row>
    <row r="17">
      <c r="A17" s="1" t="s">
        <v>13</v>
      </c>
      <c r="B17" s="1">
        <v>5.918</v>
      </c>
      <c r="C17" s="1">
        <v>5.409</v>
      </c>
      <c r="D17" s="1">
        <v>0.509</v>
      </c>
      <c r="E17" s="1">
        <f t="shared" si="12"/>
        <v>509</v>
      </c>
      <c r="F17" s="5"/>
      <c r="G17" s="5"/>
      <c r="H17" s="5">
        <f t="shared" si="14"/>
        <v>55.39206917</v>
      </c>
      <c r="K17" s="1">
        <f t="shared" si="16"/>
        <v>1.743447589</v>
      </c>
    </row>
    <row r="19">
      <c r="A19" s="2" t="s">
        <v>58</v>
      </c>
    </row>
    <row r="20">
      <c r="A20" s="1" t="s">
        <v>4</v>
      </c>
      <c r="B20" s="1" t="s">
        <v>5</v>
      </c>
      <c r="C20" s="1" t="s">
        <v>6</v>
      </c>
      <c r="D20" s="1" t="s">
        <v>28</v>
      </c>
      <c r="E20" s="1" t="s">
        <v>16</v>
      </c>
      <c r="F20" s="1" t="s">
        <v>17</v>
      </c>
      <c r="G20" s="1" t="s">
        <v>38</v>
      </c>
      <c r="H20" s="1" t="s">
        <v>11</v>
      </c>
      <c r="I20" s="1" t="s">
        <v>39</v>
      </c>
      <c r="J20" s="1" t="s">
        <v>40</v>
      </c>
      <c r="K20" s="1" t="s">
        <v>41</v>
      </c>
      <c r="L20" s="1" t="s">
        <v>42</v>
      </c>
      <c r="M20" s="1" t="s">
        <v>43</v>
      </c>
      <c r="N20" s="1" t="s">
        <v>44</v>
      </c>
      <c r="O20" s="1" t="s">
        <v>45</v>
      </c>
      <c r="P20" s="1" t="s">
        <v>53</v>
      </c>
      <c r="Q20" s="1" t="s">
        <v>39</v>
      </c>
      <c r="R20" s="1" t="s">
        <v>59</v>
      </c>
    </row>
    <row r="21" ht="15.75" customHeight="1">
      <c r="A21" s="1">
        <v>50.0</v>
      </c>
      <c r="B21" s="1">
        <v>5.736</v>
      </c>
      <c r="C21" s="1">
        <v>4.925</v>
      </c>
      <c r="D21" s="1">
        <v>0.811</v>
      </c>
      <c r="E21" s="1">
        <f t="shared" ref="E21:E26" si="22">D21*1000</f>
        <v>811</v>
      </c>
      <c r="F21" s="5">
        <f>(D26-D21)/(D26)*100</f>
        <v>20.01972387</v>
      </c>
      <c r="G21" s="18">
        <f t="shared" ref="G21:G25" si="23">F21/100</f>
        <v>0.2001972387</v>
      </c>
      <c r="H21" s="5">
        <f t="shared" ref="H21:H26" si="24">(87.6*E21)/(6*17.2*7.8)</f>
        <v>88.25730471</v>
      </c>
      <c r="I21" s="1">
        <v>303.0</v>
      </c>
      <c r="J21" s="1">
        <f t="shared" ref="J21:J25" si="25">1/(I21)*1000</f>
        <v>3.300330033</v>
      </c>
      <c r="K21" s="1">
        <f t="shared" ref="K21:K26" si="26">LOG10(H21)</f>
        <v>1.94575066</v>
      </c>
      <c r="L21" s="1">
        <f t="shared" ref="L21:L25" si="27">LOG10(H21/I21)</f>
        <v>-0.5356919681</v>
      </c>
      <c r="M21" s="1">
        <f t="shared" ref="M21:M25" si="28">A21/G21</f>
        <v>249.7536946</v>
      </c>
      <c r="N21" s="1">
        <f t="shared" ref="N21:N25" si="29">LOG10(A21)</f>
        <v>1.698970004</v>
      </c>
      <c r="O21" s="1">
        <f t="shared" ref="O21:O25" si="30">LOG10(G21)</f>
        <v>-0.6985419171</v>
      </c>
      <c r="P21" s="1">
        <f t="shared" ref="P21:P25" si="31">LOG10(G21/(1-G21))</f>
        <v>-0.6015248163</v>
      </c>
      <c r="Q21" s="1">
        <v>303.0</v>
      </c>
      <c r="R21" s="1">
        <f t="shared" ref="R21:R25" si="32">1/Q21*1000</f>
        <v>3.300330033</v>
      </c>
    </row>
    <row r="22" ht="15.75" customHeight="1">
      <c r="A22" s="1">
        <v>150.0</v>
      </c>
      <c r="B22" s="1">
        <v>6.314</v>
      </c>
      <c r="C22" s="1">
        <v>5.533</v>
      </c>
      <c r="D22" s="1">
        <v>0.781</v>
      </c>
      <c r="E22" s="1">
        <f t="shared" si="22"/>
        <v>781</v>
      </c>
      <c r="F22" s="5">
        <f>(D26-D22)/(D26)*100</f>
        <v>22.97830375</v>
      </c>
      <c r="G22" s="18">
        <f t="shared" si="23"/>
        <v>0.2297830375</v>
      </c>
      <c r="H22" s="5">
        <f t="shared" si="24"/>
        <v>84.99254621</v>
      </c>
      <c r="I22" s="1">
        <v>313.0</v>
      </c>
      <c r="J22" s="1">
        <f t="shared" si="25"/>
        <v>3.194888179</v>
      </c>
      <c r="K22" s="1">
        <f t="shared" si="26"/>
        <v>1.92938084</v>
      </c>
      <c r="L22" s="1">
        <f t="shared" si="27"/>
        <v>-0.5661634975</v>
      </c>
      <c r="M22" s="1">
        <f t="shared" si="28"/>
        <v>652.7896996</v>
      </c>
      <c r="N22" s="1">
        <f t="shared" si="29"/>
        <v>2.176091259</v>
      </c>
      <c r="O22" s="1">
        <f t="shared" si="30"/>
        <v>-0.638682034</v>
      </c>
      <c r="P22" s="1">
        <f t="shared" si="31"/>
        <v>-0.5252951129</v>
      </c>
      <c r="Q22" s="1">
        <v>313.0</v>
      </c>
      <c r="R22" s="1">
        <f t="shared" si="32"/>
        <v>3.194888179</v>
      </c>
    </row>
    <row r="23" ht="15.75" customHeight="1">
      <c r="A23" s="1">
        <v>250.0</v>
      </c>
      <c r="B23" s="1">
        <v>6.093</v>
      </c>
      <c r="C23" s="1">
        <v>5.495</v>
      </c>
      <c r="D23" s="1">
        <v>0.598</v>
      </c>
      <c r="E23" s="1">
        <f t="shared" si="22"/>
        <v>598</v>
      </c>
      <c r="F23" s="5">
        <f>(D26-D23)/(D26)*100</f>
        <v>41.02564103</v>
      </c>
      <c r="G23" s="18">
        <f t="shared" si="23"/>
        <v>0.4102564103</v>
      </c>
      <c r="H23" s="5">
        <f t="shared" si="24"/>
        <v>65.07751938</v>
      </c>
      <c r="I23" s="1">
        <v>323.0</v>
      </c>
      <c r="J23" s="1">
        <f t="shared" si="25"/>
        <v>3.095975232</v>
      </c>
      <c r="K23" s="1">
        <f t="shared" si="26"/>
        <v>1.81343099</v>
      </c>
      <c r="L23" s="1">
        <f t="shared" si="27"/>
        <v>-0.6957715322</v>
      </c>
      <c r="M23" s="1">
        <f t="shared" si="28"/>
        <v>609.375</v>
      </c>
      <c r="N23" s="1">
        <f t="shared" si="29"/>
        <v>2.397940009</v>
      </c>
      <c r="O23" s="1">
        <f t="shared" si="30"/>
        <v>-0.3869446244</v>
      </c>
      <c r="P23" s="1">
        <f t="shared" si="31"/>
        <v>-0.1576078534</v>
      </c>
      <c r="Q23" s="1">
        <v>323.0</v>
      </c>
      <c r="R23" s="1">
        <f t="shared" si="32"/>
        <v>3.095975232</v>
      </c>
    </row>
    <row r="24" ht="15.75" customHeight="1">
      <c r="A24" s="1">
        <v>350.0</v>
      </c>
      <c r="B24" s="1">
        <v>6.795</v>
      </c>
      <c r="C24" s="1">
        <v>6.329</v>
      </c>
      <c r="D24" s="1">
        <v>0.466</v>
      </c>
      <c r="E24" s="1">
        <f t="shared" si="22"/>
        <v>466</v>
      </c>
      <c r="F24" s="5">
        <f>(D26-D24)/(D26)*100</f>
        <v>54.0433925</v>
      </c>
      <c r="G24" s="18">
        <f t="shared" si="23"/>
        <v>0.540433925</v>
      </c>
      <c r="H24" s="5">
        <f t="shared" si="24"/>
        <v>50.71258199</v>
      </c>
      <c r="I24" s="1">
        <v>333.0</v>
      </c>
      <c r="J24" s="1">
        <f t="shared" si="25"/>
        <v>3.003003003</v>
      </c>
      <c r="K24" s="1">
        <f t="shared" si="26"/>
        <v>1.705115723</v>
      </c>
      <c r="L24" s="1">
        <f t="shared" si="27"/>
        <v>-0.8173285106</v>
      </c>
      <c r="M24" s="1">
        <f t="shared" si="28"/>
        <v>647.6277372</v>
      </c>
      <c r="N24" s="1">
        <f t="shared" si="29"/>
        <v>2.544068044</v>
      </c>
      <c r="O24" s="1">
        <f t="shared" si="30"/>
        <v>-0.2672573965</v>
      </c>
      <c r="P24" s="1">
        <f t="shared" si="31"/>
        <v>0.07039464179</v>
      </c>
      <c r="Q24" s="1">
        <v>333.0</v>
      </c>
      <c r="R24" s="1">
        <f t="shared" si="32"/>
        <v>3.003003003</v>
      </c>
    </row>
    <row r="25" ht="15.75" customHeight="1">
      <c r="A25" s="1">
        <v>450.0</v>
      </c>
      <c r="B25" s="1">
        <v>6.932</v>
      </c>
      <c r="C25" s="1">
        <v>6.845</v>
      </c>
      <c r="D25" s="1">
        <v>0.387</v>
      </c>
      <c r="E25" s="1">
        <f t="shared" si="22"/>
        <v>387</v>
      </c>
      <c r="F25" s="5">
        <f>(D26-D25)/(D26)*100</f>
        <v>61.83431953</v>
      </c>
      <c r="G25" s="18">
        <f t="shared" si="23"/>
        <v>0.6183431953</v>
      </c>
      <c r="H25" s="5">
        <f t="shared" si="24"/>
        <v>42.11538462</v>
      </c>
      <c r="I25" s="1">
        <v>343.0</v>
      </c>
      <c r="J25" s="1">
        <f t="shared" si="25"/>
        <v>2.915451895</v>
      </c>
      <c r="K25" s="1">
        <f t="shared" si="26"/>
        <v>1.624440771</v>
      </c>
      <c r="L25" s="1">
        <f t="shared" si="27"/>
        <v>-0.9108533488</v>
      </c>
      <c r="M25" s="1">
        <f t="shared" si="28"/>
        <v>727.7511962</v>
      </c>
      <c r="N25" s="1">
        <f t="shared" si="29"/>
        <v>2.653212514</v>
      </c>
      <c r="O25" s="1">
        <f t="shared" si="30"/>
        <v>-0.2087704142</v>
      </c>
      <c r="P25" s="1">
        <f t="shared" si="31"/>
        <v>0.2095565758</v>
      </c>
      <c r="Q25" s="1">
        <v>343.0</v>
      </c>
      <c r="R25" s="1">
        <f t="shared" si="32"/>
        <v>2.915451895</v>
      </c>
    </row>
    <row r="26" ht="15.75" customHeight="1">
      <c r="A26" s="12" t="s">
        <v>13</v>
      </c>
      <c r="B26" s="13">
        <v>5.781</v>
      </c>
      <c r="C26" s="13">
        <v>4.767</v>
      </c>
      <c r="D26" s="13">
        <v>1.014</v>
      </c>
      <c r="E26" s="1">
        <f t="shared" si="22"/>
        <v>1014</v>
      </c>
      <c r="F26" s="5"/>
      <c r="G26" s="5"/>
      <c r="H26" s="5">
        <f t="shared" si="24"/>
        <v>110.3488372</v>
      </c>
      <c r="K26" s="1">
        <f t="shared" si="26"/>
        <v>2.042767761</v>
      </c>
    </row>
    <row r="27" ht="15.75" customHeight="1"/>
    <row r="28" ht="15.75" customHeight="1">
      <c r="A28" s="1" t="s">
        <v>60</v>
      </c>
    </row>
    <row r="29" ht="15.75" customHeight="1">
      <c r="A29" s="1" t="s">
        <v>4</v>
      </c>
      <c r="B29" s="1" t="s">
        <v>5</v>
      </c>
      <c r="C29" s="1" t="s">
        <v>6</v>
      </c>
      <c r="D29" s="1" t="s">
        <v>28</v>
      </c>
      <c r="E29" s="1" t="s">
        <v>16</v>
      </c>
      <c r="F29" s="1" t="s">
        <v>36</v>
      </c>
      <c r="G29" s="1" t="s">
        <v>38</v>
      </c>
      <c r="H29" s="1" t="s">
        <v>25</v>
      </c>
      <c r="I29" s="1" t="s">
        <v>39</v>
      </c>
      <c r="J29" s="1" t="s">
        <v>40</v>
      </c>
      <c r="K29" s="1" t="s">
        <v>41</v>
      </c>
      <c r="L29" s="1" t="s">
        <v>42</v>
      </c>
      <c r="M29" s="1" t="s">
        <v>43</v>
      </c>
      <c r="N29" s="1" t="s">
        <v>44</v>
      </c>
      <c r="O29" s="1" t="s">
        <v>45</v>
      </c>
      <c r="P29" s="1" t="s">
        <v>53</v>
      </c>
    </row>
    <row r="30" ht="15.75" customHeight="1">
      <c r="A30" s="1">
        <v>50.0</v>
      </c>
      <c r="B30" s="1">
        <v>6.124</v>
      </c>
      <c r="C30" s="1">
        <v>4.798</v>
      </c>
      <c r="D30" s="1">
        <v>1.326</v>
      </c>
      <c r="E30" s="1">
        <f t="shared" ref="E30:E35" si="33">D30*1000</f>
        <v>1326</v>
      </c>
      <c r="F30" s="5">
        <f>(D35-D30)/(D35)*100</f>
        <v>16.02279924</v>
      </c>
      <c r="G30" s="18">
        <f t="shared" ref="G30:G34" si="34">F30/100</f>
        <v>0.1602279924</v>
      </c>
      <c r="H30" s="5">
        <f t="shared" ref="H30:H35" si="35">(87.6*E30)/(6*17.2*7.8)</f>
        <v>144.3023256</v>
      </c>
      <c r="I30" s="1">
        <v>303.0</v>
      </c>
      <c r="J30" s="1">
        <f t="shared" ref="J30:J34" si="36">1/(I30)*1000</f>
        <v>3.300330033</v>
      </c>
      <c r="K30" s="1">
        <f t="shared" ref="K30:K35" si="37">LOG10(H30)</f>
        <v>2.15927333</v>
      </c>
      <c r="L30" s="1">
        <f t="shared" ref="L30:L34" si="38">LOG10(H30/I30)</f>
        <v>-0.3221692982</v>
      </c>
      <c r="M30" s="1">
        <f t="shared" ref="M30:M34" si="39">A30/G30</f>
        <v>312.055336</v>
      </c>
      <c r="N30" s="1">
        <f t="shared" ref="N30:N34" si="40">LOG10(A30)</f>
        <v>1.698970004</v>
      </c>
      <c r="O30" s="1">
        <f t="shared" ref="O30:O34" si="41">LOG10(G30)</f>
        <v>-0.7952616088</v>
      </c>
      <c r="P30" s="1">
        <f t="shared" ref="P30:P34" si="42">LOG10(G30/(1-G30))</f>
        <v>-0.7194230029</v>
      </c>
    </row>
    <row r="31" ht="15.75" customHeight="1">
      <c r="A31" s="1">
        <v>150.0</v>
      </c>
      <c r="B31" s="1">
        <v>7.493</v>
      </c>
      <c r="C31" s="1">
        <v>6.198</v>
      </c>
      <c r="D31" s="1">
        <v>1.295</v>
      </c>
      <c r="E31" s="1">
        <f t="shared" si="33"/>
        <v>1295</v>
      </c>
      <c r="F31" s="5">
        <f>(D35-D31)/(D35)*100</f>
        <v>17.98606713</v>
      </c>
      <c r="G31" s="18">
        <f t="shared" si="34"/>
        <v>0.1798606713</v>
      </c>
      <c r="H31" s="5">
        <f t="shared" si="35"/>
        <v>140.9287418</v>
      </c>
      <c r="I31" s="1">
        <v>313.0</v>
      </c>
      <c r="J31" s="1">
        <f t="shared" si="36"/>
        <v>3.194888179</v>
      </c>
      <c r="K31" s="1">
        <f t="shared" si="37"/>
        <v>2.148999575</v>
      </c>
      <c r="L31" s="1">
        <f t="shared" si="38"/>
        <v>-0.3465447629</v>
      </c>
      <c r="M31" s="1">
        <f t="shared" si="39"/>
        <v>833.9788732</v>
      </c>
      <c r="N31" s="1">
        <f t="shared" si="40"/>
        <v>2.176091259</v>
      </c>
      <c r="O31" s="1">
        <f t="shared" si="41"/>
        <v>-0.74506379</v>
      </c>
      <c r="P31" s="1">
        <f t="shared" si="42"/>
        <v>-0.6589514284</v>
      </c>
    </row>
    <row r="32" ht="15.75" customHeight="1">
      <c r="A32" s="1">
        <v>250.0</v>
      </c>
      <c r="B32" s="1">
        <v>6.53</v>
      </c>
      <c r="C32" s="1">
        <v>5.409</v>
      </c>
      <c r="D32" s="1">
        <v>1.121</v>
      </c>
      <c r="E32" s="1">
        <f t="shared" si="33"/>
        <v>1121</v>
      </c>
      <c r="F32" s="5">
        <f>(D35-D32)/(D35)*100</f>
        <v>29.00569981</v>
      </c>
      <c r="G32" s="18">
        <f t="shared" si="34"/>
        <v>0.2900569981</v>
      </c>
      <c r="H32" s="5">
        <f t="shared" si="35"/>
        <v>121.9931425</v>
      </c>
      <c r="I32" s="1">
        <v>323.0</v>
      </c>
      <c r="J32" s="1">
        <f t="shared" si="36"/>
        <v>3.095975232</v>
      </c>
      <c r="K32" s="1">
        <f t="shared" si="37"/>
        <v>2.086335419</v>
      </c>
      <c r="L32" s="1">
        <f t="shared" si="38"/>
        <v>-0.4228671035</v>
      </c>
      <c r="M32" s="1">
        <f t="shared" si="39"/>
        <v>861.8995633</v>
      </c>
      <c r="N32" s="1">
        <f t="shared" si="40"/>
        <v>2.397940009</v>
      </c>
      <c r="O32" s="1">
        <f t="shared" si="41"/>
        <v>-0.537516652</v>
      </c>
      <c r="P32" s="1">
        <f t="shared" si="42"/>
        <v>-0.3887401346</v>
      </c>
    </row>
    <row r="33" ht="15.75" customHeight="1">
      <c r="A33" s="1">
        <v>350.0</v>
      </c>
      <c r="B33" s="1">
        <v>5.494</v>
      </c>
      <c r="C33" s="1">
        <v>4.499</v>
      </c>
      <c r="D33" s="1">
        <v>0.299</v>
      </c>
      <c r="E33" s="1">
        <f t="shared" si="33"/>
        <v>299</v>
      </c>
      <c r="F33" s="5">
        <f>(D35-D33)/(D35)*100</f>
        <v>81.06396453</v>
      </c>
      <c r="G33" s="18">
        <f t="shared" si="34"/>
        <v>0.8106396453</v>
      </c>
      <c r="H33" s="5">
        <f t="shared" si="35"/>
        <v>32.53875969</v>
      </c>
      <c r="I33" s="1">
        <v>333.0</v>
      </c>
      <c r="J33" s="1">
        <f t="shared" si="36"/>
        <v>3.003003003</v>
      </c>
      <c r="K33" s="1">
        <f t="shared" si="37"/>
        <v>1.512400995</v>
      </c>
      <c r="L33" s="1">
        <f t="shared" si="38"/>
        <v>-1.010043239</v>
      </c>
      <c r="M33" s="1">
        <f t="shared" si="39"/>
        <v>431.7578125</v>
      </c>
      <c r="N33" s="1">
        <f t="shared" si="40"/>
        <v>2.544068044</v>
      </c>
      <c r="O33" s="1">
        <f t="shared" si="41"/>
        <v>-0.09117216036</v>
      </c>
      <c r="P33" s="1">
        <f t="shared" si="42"/>
        <v>0.6315387813</v>
      </c>
    </row>
    <row r="34" ht="15.75" customHeight="1">
      <c r="A34" s="1">
        <v>450.0</v>
      </c>
      <c r="B34" s="1">
        <v>7.418</v>
      </c>
      <c r="C34" s="1">
        <v>6.486</v>
      </c>
      <c r="D34" s="1">
        <v>0.932</v>
      </c>
      <c r="E34" s="1">
        <f t="shared" si="33"/>
        <v>932</v>
      </c>
      <c r="F34" s="5">
        <f>(D35-D34)/(D35)*100</f>
        <v>40.97530082</v>
      </c>
      <c r="G34" s="18">
        <f t="shared" si="34"/>
        <v>0.4097530082</v>
      </c>
      <c r="H34" s="5">
        <f t="shared" si="35"/>
        <v>101.425164</v>
      </c>
      <c r="I34" s="1">
        <v>343.0</v>
      </c>
      <c r="J34" s="1">
        <f t="shared" si="36"/>
        <v>2.915451895</v>
      </c>
      <c r="K34" s="1">
        <f t="shared" si="37"/>
        <v>2.006145719</v>
      </c>
      <c r="L34" s="1">
        <f t="shared" si="38"/>
        <v>-0.5291484015</v>
      </c>
      <c r="M34" s="1">
        <f t="shared" si="39"/>
        <v>1098.222566</v>
      </c>
      <c r="N34" s="1">
        <f t="shared" si="40"/>
        <v>2.653212514</v>
      </c>
      <c r="O34" s="1">
        <f t="shared" si="41"/>
        <v>-0.3874778493</v>
      </c>
      <c r="P34" s="1">
        <f t="shared" si="42"/>
        <v>-0.1585116317</v>
      </c>
    </row>
    <row r="35" ht="15.75" customHeight="1">
      <c r="A35" s="1" t="s">
        <v>13</v>
      </c>
      <c r="B35" s="1">
        <v>5.297</v>
      </c>
      <c r="C35" s="1">
        <v>3.718</v>
      </c>
      <c r="D35" s="1">
        <v>1.579</v>
      </c>
      <c r="E35" s="1">
        <f t="shared" si="33"/>
        <v>1579</v>
      </c>
      <c r="H35" s="5">
        <f t="shared" si="35"/>
        <v>171.8351222</v>
      </c>
      <c r="K35" s="1">
        <f t="shared" si="37"/>
        <v>2.235111936</v>
      </c>
    </row>
    <row r="36" ht="15.75" customHeight="1"/>
    <row r="37" ht="15.75" customHeight="1">
      <c r="A37" s="1" t="s">
        <v>61</v>
      </c>
    </row>
    <row r="38" ht="15.75" customHeight="1">
      <c r="A38" s="1" t="s">
        <v>4</v>
      </c>
      <c r="B38" s="1" t="s">
        <v>5</v>
      </c>
      <c r="C38" s="1" t="s">
        <v>6</v>
      </c>
      <c r="D38" s="1" t="s">
        <v>28</v>
      </c>
      <c r="E38" s="1" t="s">
        <v>16</v>
      </c>
      <c r="F38" s="1" t="s">
        <v>17</v>
      </c>
      <c r="G38" s="1" t="s">
        <v>38</v>
      </c>
      <c r="H38" s="1" t="s">
        <v>25</v>
      </c>
      <c r="I38" s="1" t="s">
        <v>39</v>
      </c>
      <c r="J38" s="1" t="s">
        <v>40</v>
      </c>
      <c r="K38" s="1" t="s">
        <v>41</v>
      </c>
      <c r="L38" s="1" t="s">
        <v>42</v>
      </c>
      <c r="M38" s="1" t="s">
        <v>43</v>
      </c>
      <c r="N38" s="1" t="s">
        <v>44</v>
      </c>
      <c r="O38" s="1" t="s">
        <v>45</v>
      </c>
      <c r="P38" s="1" t="s">
        <v>53</v>
      </c>
    </row>
    <row r="39" ht="15.75" customHeight="1">
      <c r="A39" s="1">
        <v>50.0</v>
      </c>
      <c r="B39" s="1">
        <v>6.282</v>
      </c>
      <c r="C39" s="1">
        <v>3.474</v>
      </c>
      <c r="D39" s="1">
        <v>2.808</v>
      </c>
      <c r="E39" s="1">
        <f t="shared" ref="E39:E44" si="43">D39*1000</f>
        <v>2808</v>
      </c>
      <c r="F39" s="5">
        <f>(D44-D39)/(D44)*100</f>
        <v>9.008425146</v>
      </c>
      <c r="G39" s="18">
        <f t="shared" ref="G39:G43" si="44">F39/100</f>
        <v>0.09008425146</v>
      </c>
      <c r="H39" s="5">
        <f t="shared" ref="H39:H44" si="45">(87.6*E39)/(6*17.2*7.8)</f>
        <v>305.5813953</v>
      </c>
      <c r="I39" s="1">
        <v>303.0</v>
      </c>
      <c r="J39" s="1">
        <f t="shared" ref="J39:J43" si="46">1/(I39)*1000</f>
        <v>3.300330033</v>
      </c>
      <c r="K39" s="1">
        <f t="shared" ref="K39:K44" si="47">LOG10(H39)</f>
        <v>2.48512691</v>
      </c>
      <c r="L39" s="1">
        <f t="shared" ref="L39:L43" si="48">LOG10(H39/I39)</f>
        <v>0.003684281142</v>
      </c>
      <c r="M39" s="1">
        <f t="shared" ref="M39:M43" si="49">A39/G39</f>
        <v>555.0359712</v>
      </c>
      <c r="N39" s="1">
        <f t="shared" ref="N39:N43" si="50">LOG10(A39)</f>
        <v>1.698970004</v>
      </c>
      <c r="O39" s="1">
        <f t="shared" ref="O39:O43" si="51">LOG10(G39)</f>
        <v>-1.045351126</v>
      </c>
      <c r="P39" s="1">
        <f t="shared" ref="P39:P43" si="52">LOG10(G39/(1-G39))</f>
        <v>-1.004352308</v>
      </c>
    </row>
    <row r="40" ht="15.75" customHeight="1">
      <c r="A40" s="1">
        <v>150.0</v>
      </c>
      <c r="B40" s="1">
        <v>6.752</v>
      </c>
      <c r="C40" s="1">
        <v>4.005</v>
      </c>
      <c r="D40" s="1">
        <v>2.747</v>
      </c>
      <c r="E40" s="1">
        <f t="shared" si="43"/>
        <v>2747</v>
      </c>
      <c r="F40" s="5">
        <f>(D44-D40)/(D44)*100</f>
        <v>10.98509397</v>
      </c>
      <c r="G40" s="18">
        <f t="shared" si="44"/>
        <v>0.1098509397</v>
      </c>
      <c r="H40" s="5">
        <f t="shared" si="45"/>
        <v>298.9430531</v>
      </c>
      <c r="I40" s="1">
        <v>313.0</v>
      </c>
      <c r="J40" s="1">
        <f t="shared" si="46"/>
        <v>3.194888179</v>
      </c>
      <c r="K40" s="1">
        <f t="shared" si="47"/>
        <v>2.475588466</v>
      </c>
      <c r="L40" s="1">
        <f t="shared" si="48"/>
        <v>-0.01995587194</v>
      </c>
      <c r="M40" s="1">
        <f t="shared" si="49"/>
        <v>1365.486726</v>
      </c>
      <c r="N40" s="1">
        <f t="shared" si="50"/>
        <v>2.176091259</v>
      </c>
      <c r="O40" s="1">
        <f t="shared" si="51"/>
        <v>-0.9591962235</v>
      </c>
      <c r="P40" s="1">
        <f t="shared" si="52"/>
        <v>-0.9086589612</v>
      </c>
    </row>
    <row r="41" ht="15.75" customHeight="1">
      <c r="A41" s="1">
        <v>250.0</v>
      </c>
      <c r="B41" s="1">
        <v>7.682</v>
      </c>
      <c r="C41" s="1">
        <v>5.509</v>
      </c>
      <c r="D41" s="1">
        <v>2.623</v>
      </c>
      <c r="E41" s="1">
        <f t="shared" si="43"/>
        <v>2623</v>
      </c>
      <c r="F41" s="5">
        <f>(D44-D41)/(D44)*100</f>
        <v>15.00324044</v>
      </c>
      <c r="G41" s="18">
        <f t="shared" si="44"/>
        <v>0.1500324044</v>
      </c>
      <c r="H41" s="5">
        <f t="shared" si="45"/>
        <v>285.4487179</v>
      </c>
      <c r="I41" s="1">
        <v>323.0</v>
      </c>
      <c r="J41" s="1">
        <f t="shared" si="46"/>
        <v>3.095975232</v>
      </c>
      <c r="K41" s="1">
        <f t="shared" si="47"/>
        <v>2.455528097</v>
      </c>
      <c r="L41" s="1">
        <f t="shared" si="48"/>
        <v>-0.05367442555</v>
      </c>
      <c r="M41" s="1">
        <f t="shared" si="49"/>
        <v>1666.306695</v>
      </c>
      <c r="N41" s="1">
        <f t="shared" si="50"/>
        <v>2.397940009</v>
      </c>
      <c r="O41" s="1">
        <f t="shared" si="51"/>
        <v>-0.8238149307</v>
      </c>
      <c r="P41" s="1">
        <f t="shared" si="52"/>
        <v>-0.7532172996</v>
      </c>
    </row>
    <row r="42" ht="15.75" customHeight="1">
      <c r="A42" s="1">
        <v>350.0</v>
      </c>
      <c r="B42" s="1">
        <v>5.79</v>
      </c>
      <c r="C42" s="1">
        <v>3.229</v>
      </c>
      <c r="D42" s="1">
        <v>2.561</v>
      </c>
      <c r="E42" s="1">
        <f t="shared" si="43"/>
        <v>2561</v>
      </c>
      <c r="F42" s="5">
        <f>(D44-D42)/(D44)*100</f>
        <v>17.01231367</v>
      </c>
      <c r="G42" s="18">
        <f t="shared" si="44"/>
        <v>0.1701231367</v>
      </c>
      <c r="H42" s="5">
        <f t="shared" si="45"/>
        <v>278.7015504</v>
      </c>
      <c r="I42" s="1">
        <v>333.0</v>
      </c>
      <c r="J42" s="1">
        <f t="shared" si="46"/>
        <v>3.003003003</v>
      </c>
      <c r="K42" s="1">
        <f t="shared" si="47"/>
        <v>2.445139385</v>
      </c>
      <c r="L42" s="1">
        <f t="shared" si="48"/>
        <v>-0.07730484885</v>
      </c>
      <c r="M42" s="1">
        <f t="shared" si="49"/>
        <v>2057.333333</v>
      </c>
      <c r="N42" s="1">
        <f t="shared" si="50"/>
        <v>2.544068044</v>
      </c>
      <c r="O42" s="1">
        <f t="shared" si="51"/>
        <v>-0.7692366183</v>
      </c>
      <c r="P42" s="1">
        <f t="shared" si="52"/>
        <v>-0.6882502751</v>
      </c>
    </row>
    <row r="43" ht="15.75" customHeight="1">
      <c r="A43" s="1">
        <v>450.0</v>
      </c>
      <c r="B43" s="1">
        <v>6.62</v>
      </c>
      <c r="C43" s="1">
        <v>4.522</v>
      </c>
      <c r="D43" s="1">
        <v>2.098</v>
      </c>
      <c r="E43" s="1">
        <f t="shared" si="43"/>
        <v>2098</v>
      </c>
      <c r="F43" s="5">
        <f>(D44-D43)/(D44)*100</f>
        <v>32.01555412</v>
      </c>
      <c r="G43" s="18">
        <f t="shared" si="44"/>
        <v>0.3201555412</v>
      </c>
      <c r="H43" s="5">
        <f t="shared" si="45"/>
        <v>228.3154442</v>
      </c>
      <c r="I43" s="1">
        <v>343.0</v>
      </c>
      <c r="J43" s="1">
        <f t="shared" si="46"/>
        <v>2.915451895</v>
      </c>
      <c r="K43" s="1">
        <f t="shared" si="47"/>
        <v>2.35853529</v>
      </c>
      <c r="L43" s="1">
        <f t="shared" si="48"/>
        <v>-0.17675883</v>
      </c>
      <c r="M43" s="1">
        <f t="shared" si="49"/>
        <v>1405.566802</v>
      </c>
      <c r="N43" s="1">
        <f t="shared" si="50"/>
        <v>2.653212514</v>
      </c>
      <c r="O43" s="1">
        <f t="shared" si="51"/>
        <v>-0.4946389771</v>
      </c>
      <c r="P43" s="1">
        <f t="shared" si="52"/>
        <v>-0.3270485393</v>
      </c>
    </row>
    <row r="44" ht="15.75" customHeight="1">
      <c r="A44" s="1" t="s">
        <v>13</v>
      </c>
      <c r="B44" s="1">
        <v>7.022</v>
      </c>
      <c r="C44" s="1">
        <v>3.936</v>
      </c>
      <c r="D44" s="1">
        <v>3.086</v>
      </c>
      <c r="E44" s="1">
        <f t="shared" si="43"/>
        <v>3086</v>
      </c>
      <c r="F44" s="5"/>
      <c r="G44" s="5"/>
      <c r="H44" s="5">
        <f t="shared" si="45"/>
        <v>335.8348241</v>
      </c>
      <c r="K44" s="1">
        <f t="shared" si="47"/>
        <v>2.526125728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71"/>
    <col customWidth="1" min="2" max="2" width="16.57"/>
    <col customWidth="1" min="3" max="3" width="14.86"/>
    <col customWidth="1" min="4" max="4" width="14.14"/>
    <col customWidth="1" min="5" max="5" width="17.0"/>
    <col customWidth="1" min="6" max="9" width="8.71"/>
    <col customWidth="1" min="10" max="10" width="11.57"/>
    <col customWidth="1" min="11" max="15" width="8.71"/>
    <col customWidth="1" min="16" max="16" width="15.43"/>
    <col customWidth="1" min="17" max="26" width="8.71"/>
  </cols>
  <sheetData>
    <row r="2">
      <c r="A2" s="1" t="s">
        <v>62</v>
      </c>
    </row>
    <row r="3">
      <c r="A3" s="1" t="s">
        <v>4</v>
      </c>
      <c r="B3" s="1" t="s">
        <v>5</v>
      </c>
      <c r="C3" s="1" t="s">
        <v>6</v>
      </c>
      <c r="D3" s="1" t="s">
        <v>28</v>
      </c>
      <c r="E3" s="1" t="s">
        <v>16</v>
      </c>
      <c r="F3" s="1" t="s">
        <v>17</v>
      </c>
      <c r="G3" s="1" t="s">
        <v>38</v>
      </c>
      <c r="H3" s="1" t="s">
        <v>63</v>
      </c>
      <c r="I3" s="1" t="s">
        <v>40</v>
      </c>
      <c r="J3" s="1" t="s">
        <v>11</v>
      </c>
      <c r="K3" s="1" t="s">
        <v>41</v>
      </c>
      <c r="L3" s="1" t="s">
        <v>64</v>
      </c>
      <c r="M3" s="1" t="s">
        <v>43</v>
      </c>
      <c r="N3" s="1" t="s">
        <v>44</v>
      </c>
      <c r="O3" s="1" t="s">
        <v>45</v>
      </c>
      <c r="P3" s="1" t="s">
        <v>46</v>
      </c>
    </row>
    <row r="4">
      <c r="A4" s="1">
        <v>50.0</v>
      </c>
      <c r="B4" s="1">
        <v>5.985</v>
      </c>
      <c r="C4" s="1">
        <v>5.858</v>
      </c>
      <c r="D4" s="1">
        <f t="shared" ref="D4:D9" si="1">B4-C4</f>
        <v>0.127</v>
      </c>
      <c r="E4" s="1">
        <f t="shared" ref="E4:E9" si="2">D4*1000</f>
        <v>127</v>
      </c>
      <c r="F4" s="5">
        <f>(D9-D4)/(D9)*100</f>
        <v>47.73662551</v>
      </c>
      <c r="G4" s="18">
        <f t="shared" ref="G4:G8" si="3">F4/100</f>
        <v>0.4773662551</v>
      </c>
      <c r="H4" s="18">
        <v>303.0</v>
      </c>
      <c r="I4" s="18">
        <f t="shared" ref="I4:I8" si="4">1/H4*1000</f>
        <v>3.300330033</v>
      </c>
      <c r="J4" s="5">
        <f t="shared" ref="J4:J9" si="5">(87.6*E4)/(6*17.2*7.8)</f>
        <v>13.82081097</v>
      </c>
      <c r="K4" s="1">
        <f t="shared" ref="K4:K9" si="6">LOG10(J4)</f>
        <v>1.140533527</v>
      </c>
      <c r="L4" s="1">
        <f t="shared" ref="L4:L8" si="7">LOG10(J4/H4)</f>
        <v>-1.340909101</v>
      </c>
      <c r="M4" s="1">
        <f t="shared" ref="M4:M8" si="8">A4/G4</f>
        <v>104.7413793</v>
      </c>
      <c r="N4" s="1">
        <f t="shared" ref="N4:N8" si="9">LOG10(A4)</f>
        <v>1.698970004</v>
      </c>
      <c r="O4" s="1">
        <f t="shared" ref="O4:O8" si="10">LOG(G4)</f>
        <v>-0.3211482844</v>
      </c>
      <c r="P4" s="1">
        <f t="shared" ref="P4:P8" si="11">LOG10(G4/(1-G4))</f>
        <v>-0.03934573173</v>
      </c>
    </row>
    <row r="5">
      <c r="A5" s="1">
        <v>150.0</v>
      </c>
      <c r="B5" s="1">
        <v>5.301</v>
      </c>
      <c r="C5" s="1">
        <v>5.233</v>
      </c>
      <c r="D5" s="1">
        <f t="shared" si="1"/>
        <v>0.068</v>
      </c>
      <c r="E5" s="1">
        <f t="shared" si="2"/>
        <v>68</v>
      </c>
      <c r="F5" s="5">
        <f>(D9-D5)/(D9)*100</f>
        <v>72.01646091</v>
      </c>
      <c r="G5" s="18">
        <f t="shared" si="3"/>
        <v>0.7201646091</v>
      </c>
      <c r="H5" s="18">
        <v>313.0</v>
      </c>
      <c r="I5" s="18">
        <f t="shared" si="4"/>
        <v>3.194888179</v>
      </c>
      <c r="J5" s="5">
        <f t="shared" si="5"/>
        <v>7.400119261</v>
      </c>
      <c r="K5" s="1">
        <f t="shared" si="6"/>
        <v>0.8692387189</v>
      </c>
      <c r="L5" s="1">
        <f t="shared" si="7"/>
        <v>-1.626305619</v>
      </c>
      <c r="M5" s="1">
        <f t="shared" si="8"/>
        <v>208.2857143</v>
      </c>
      <c r="N5" s="1">
        <f t="shared" si="9"/>
        <v>2.176091259</v>
      </c>
      <c r="O5" s="1">
        <f t="shared" si="10"/>
        <v>-0.1425682249</v>
      </c>
      <c r="P5" s="1">
        <f t="shared" si="11"/>
        <v>0.410529136</v>
      </c>
    </row>
    <row r="6">
      <c r="A6" s="1">
        <v>250.0</v>
      </c>
      <c r="B6" s="1">
        <v>6.406</v>
      </c>
      <c r="C6" s="1">
        <v>6.36</v>
      </c>
      <c r="D6" s="1">
        <f t="shared" si="1"/>
        <v>0.046</v>
      </c>
      <c r="E6" s="1">
        <f t="shared" si="2"/>
        <v>46</v>
      </c>
      <c r="F6" s="5">
        <f>(D9-D6)/(D9)*100</f>
        <v>81.06995885</v>
      </c>
      <c r="G6" s="18">
        <f t="shared" si="3"/>
        <v>0.8106995885</v>
      </c>
      <c r="H6" s="18">
        <v>323.0</v>
      </c>
      <c r="I6" s="18">
        <f t="shared" si="4"/>
        <v>3.095975232</v>
      </c>
      <c r="J6" s="5">
        <f t="shared" si="5"/>
        <v>5.005963029</v>
      </c>
      <c r="K6" s="1">
        <f t="shared" si="6"/>
        <v>0.6994876379</v>
      </c>
      <c r="L6" s="1">
        <f t="shared" si="7"/>
        <v>-1.809714884</v>
      </c>
      <c r="M6" s="1">
        <f t="shared" si="8"/>
        <v>308.3756345</v>
      </c>
      <c r="N6" s="1">
        <f t="shared" si="9"/>
        <v>2.397940009</v>
      </c>
      <c r="O6" s="1">
        <f t="shared" si="10"/>
        <v>-0.09114004744</v>
      </c>
      <c r="P6" s="1">
        <f t="shared" si="11"/>
        <v>0.6317083945</v>
      </c>
    </row>
    <row r="7">
      <c r="A7" s="1">
        <v>350.0</v>
      </c>
      <c r="B7" s="1">
        <v>7.191</v>
      </c>
      <c r="C7" s="1">
        <v>7.162</v>
      </c>
      <c r="D7" s="1">
        <f t="shared" si="1"/>
        <v>0.029</v>
      </c>
      <c r="E7" s="1">
        <f t="shared" si="2"/>
        <v>29</v>
      </c>
      <c r="F7" s="5">
        <f>(D9-D7)/(D9)*100</f>
        <v>88.06584362</v>
      </c>
      <c r="G7" s="18">
        <f t="shared" si="3"/>
        <v>0.8806584362</v>
      </c>
      <c r="H7" s="18">
        <v>333.0</v>
      </c>
      <c r="I7" s="18">
        <f t="shared" si="4"/>
        <v>3.003003003</v>
      </c>
      <c r="J7" s="5">
        <f t="shared" si="5"/>
        <v>3.155933214</v>
      </c>
      <c r="K7" s="1">
        <f t="shared" si="6"/>
        <v>0.4991278041</v>
      </c>
      <c r="L7" s="1">
        <f t="shared" si="7"/>
        <v>-2.023316429</v>
      </c>
      <c r="M7" s="1">
        <f t="shared" si="8"/>
        <v>397.4299065</v>
      </c>
      <c r="N7" s="1">
        <f t="shared" si="9"/>
        <v>2.544068044</v>
      </c>
      <c r="O7" s="1">
        <f t="shared" si="10"/>
        <v>-0.05519250025</v>
      </c>
      <c r="P7" s="1">
        <f t="shared" si="11"/>
        <v>0.8680157755</v>
      </c>
    </row>
    <row r="8">
      <c r="A8" s="1">
        <v>450.0</v>
      </c>
      <c r="B8" s="1">
        <v>6.349</v>
      </c>
      <c r="C8" s="1">
        <v>6.33</v>
      </c>
      <c r="D8" s="1">
        <f t="shared" si="1"/>
        <v>0.019</v>
      </c>
      <c r="E8" s="1">
        <f t="shared" si="2"/>
        <v>19</v>
      </c>
      <c r="F8" s="5">
        <f>(D9-D8)/(D9)*100</f>
        <v>92.18106996</v>
      </c>
      <c r="G8" s="18">
        <f t="shared" si="3"/>
        <v>0.9218106996</v>
      </c>
      <c r="H8" s="18">
        <v>343.0</v>
      </c>
      <c r="I8" s="18">
        <f t="shared" si="4"/>
        <v>2.915451895</v>
      </c>
      <c r="J8" s="5">
        <f t="shared" si="5"/>
        <v>2.067680382</v>
      </c>
      <c r="K8" s="1">
        <f t="shared" si="6"/>
        <v>0.3154834071</v>
      </c>
      <c r="L8" s="1">
        <f t="shared" si="7"/>
        <v>-2.219810713</v>
      </c>
      <c r="M8" s="1">
        <f t="shared" si="8"/>
        <v>488.1696429</v>
      </c>
      <c r="N8" s="1">
        <f t="shared" si="9"/>
        <v>2.653212514</v>
      </c>
      <c r="O8" s="1">
        <f t="shared" si="10"/>
        <v>-0.03535825526</v>
      </c>
      <c r="P8" s="1">
        <f t="shared" si="11"/>
        <v>1.071494417</v>
      </c>
    </row>
    <row r="9">
      <c r="A9" s="1" t="s">
        <v>13</v>
      </c>
      <c r="B9" s="1">
        <v>6.353</v>
      </c>
      <c r="C9" s="1">
        <v>6.11</v>
      </c>
      <c r="D9" s="1">
        <f t="shared" si="1"/>
        <v>0.243</v>
      </c>
      <c r="E9" s="1">
        <f t="shared" si="2"/>
        <v>243</v>
      </c>
      <c r="F9" s="5"/>
      <c r="G9" s="5"/>
      <c r="H9" s="5"/>
      <c r="I9" s="5"/>
      <c r="J9" s="5">
        <f t="shared" si="5"/>
        <v>26.44454383</v>
      </c>
      <c r="K9" s="1">
        <f t="shared" si="6"/>
        <v>1.42233608</v>
      </c>
      <c r="L9" s="1">
        <f>LOG10(J9/H4)</f>
        <v>-1.059106549</v>
      </c>
    </row>
    <row r="11">
      <c r="A11" s="1" t="s">
        <v>65</v>
      </c>
    </row>
    <row r="12">
      <c r="A12" s="1" t="s">
        <v>4</v>
      </c>
      <c r="B12" s="1" t="s">
        <v>5</v>
      </c>
      <c r="C12" s="1" t="s">
        <v>6</v>
      </c>
      <c r="D12" s="1" t="s">
        <v>28</v>
      </c>
      <c r="E12" s="1" t="s">
        <v>16</v>
      </c>
      <c r="F12" s="1" t="s">
        <v>17</v>
      </c>
      <c r="G12" s="1" t="s">
        <v>38</v>
      </c>
      <c r="H12" s="1" t="s">
        <v>63</v>
      </c>
      <c r="I12" s="1" t="s">
        <v>40</v>
      </c>
      <c r="J12" s="1" t="s">
        <v>25</v>
      </c>
      <c r="K12" s="1" t="s">
        <v>41</v>
      </c>
      <c r="L12" s="1" t="s">
        <v>64</v>
      </c>
      <c r="M12" s="1" t="s">
        <v>43</v>
      </c>
      <c r="N12" s="1" t="s">
        <v>44</v>
      </c>
      <c r="O12" s="1" t="s">
        <v>45</v>
      </c>
      <c r="P12" s="1" t="s">
        <v>46</v>
      </c>
    </row>
    <row r="13">
      <c r="A13" s="1">
        <v>50.0</v>
      </c>
      <c r="B13" s="1">
        <v>6.154</v>
      </c>
      <c r="C13" s="1">
        <v>5.737</v>
      </c>
      <c r="D13" s="1">
        <v>0.417</v>
      </c>
      <c r="E13" s="1">
        <f t="shared" ref="E13:E18" si="12">D13*1000</f>
        <v>417</v>
      </c>
      <c r="F13" s="5">
        <f>(D18-D13)/(D18)*100</f>
        <v>44.98680739</v>
      </c>
      <c r="G13" s="18">
        <f t="shared" ref="G13:G17" si="13">F13/100</f>
        <v>0.4498680739</v>
      </c>
      <c r="H13" s="18">
        <v>303.0</v>
      </c>
      <c r="I13" s="18">
        <f t="shared" ref="I13:I17" si="14">1/H13*1000</f>
        <v>3.300330033</v>
      </c>
      <c r="J13" s="5">
        <f t="shared" ref="J13:J18" si="15">(87.6*E13)/(6*17.2*7.8)</f>
        <v>45.38014311</v>
      </c>
      <c r="K13" s="1">
        <f t="shared" ref="K13:K18" si="16">LOG10(J13)</f>
        <v>1.656865861</v>
      </c>
      <c r="L13" s="1">
        <f t="shared" ref="L13:L17" si="17">LOG10(J13/H13)</f>
        <v>-0.8245767673</v>
      </c>
      <c r="M13" s="1">
        <f t="shared" ref="M13:M17" si="18">A13/G13</f>
        <v>111.143695</v>
      </c>
      <c r="N13" s="1">
        <f t="shared" ref="N13:N17" si="19">LOG10(A13)</f>
        <v>1.698970004</v>
      </c>
      <c r="O13" s="1">
        <f t="shared" ref="O13:O17" si="20">LOG(G13)</f>
        <v>-0.3469148266</v>
      </c>
      <c r="P13" s="1">
        <f t="shared" ref="P13:P17" si="21">LOG10(G13/(1-G13))</f>
        <v>-0.08738167598</v>
      </c>
    </row>
    <row r="14">
      <c r="A14" s="1">
        <v>150.0</v>
      </c>
      <c r="B14" s="1">
        <v>6.265</v>
      </c>
      <c r="C14" s="1">
        <v>6.308</v>
      </c>
      <c r="D14" s="1">
        <v>0.227</v>
      </c>
      <c r="E14" s="1">
        <f t="shared" si="12"/>
        <v>227</v>
      </c>
      <c r="F14" s="5">
        <f>(D18-D14)/(D18)*100</f>
        <v>70.05277045</v>
      </c>
      <c r="G14" s="18">
        <f t="shared" si="13"/>
        <v>0.7005277045</v>
      </c>
      <c r="H14" s="18">
        <v>313.0</v>
      </c>
      <c r="I14" s="18">
        <f t="shared" si="14"/>
        <v>3.194888179</v>
      </c>
      <c r="J14" s="5">
        <f t="shared" si="15"/>
        <v>24.7033393</v>
      </c>
      <c r="K14" s="1">
        <f t="shared" si="16"/>
        <v>1.392755663</v>
      </c>
      <c r="L14" s="1">
        <f t="shared" si="17"/>
        <v>-1.102788674</v>
      </c>
      <c r="M14" s="1">
        <f t="shared" si="18"/>
        <v>214.1242938</v>
      </c>
      <c r="N14" s="1">
        <f t="shared" si="19"/>
        <v>2.176091259</v>
      </c>
      <c r="O14" s="1">
        <f t="shared" si="20"/>
        <v>-0.1545746846</v>
      </c>
      <c r="P14" s="1">
        <f t="shared" si="21"/>
        <v>0.3690686639</v>
      </c>
    </row>
    <row r="15">
      <c r="A15" s="1">
        <v>250.0</v>
      </c>
      <c r="B15" s="1">
        <v>6.369</v>
      </c>
      <c r="C15" s="1">
        <v>6.195</v>
      </c>
      <c r="D15" s="1">
        <v>0.174</v>
      </c>
      <c r="E15" s="1">
        <f t="shared" si="12"/>
        <v>174</v>
      </c>
      <c r="F15" s="5">
        <f>(D18-D15)/(D18)*100</f>
        <v>77.04485488</v>
      </c>
      <c r="G15" s="18">
        <f t="shared" si="13"/>
        <v>0.7704485488</v>
      </c>
      <c r="H15" s="18">
        <v>323.0</v>
      </c>
      <c r="I15" s="18">
        <f t="shared" si="14"/>
        <v>3.095975232</v>
      </c>
      <c r="J15" s="5">
        <f t="shared" si="15"/>
        <v>18.93559928</v>
      </c>
      <c r="K15" s="1">
        <f t="shared" si="16"/>
        <v>1.277279054</v>
      </c>
      <c r="L15" s="1">
        <f t="shared" si="17"/>
        <v>-1.231923468</v>
      </c>
      <c r="M15" s="1">
        <f t="shared" si="18"/>
        <v>324.4863014</v>
      </c>
      <c r="N15" s="1">
        <f t="shared" si="19"/>
        <v>2.397940009</v>
      </c>
      <c r="O15" s="1">
        <f t="shared" si="20"/>
        <v>-0.1132563585</v>
      </c>
      <c r="P15" s="1">
        <f t="shared" si="21"/>
        <v>0.5258635988</v>
      </c>
    </row>
    <row r="16">
      <c r="A16" s="1">
        <v>350.0</v>
      </c>
      <c r="B16" s="1">
        <v>5.636</v>
      </c>
      <c r="C16" s="1">
        <v>5.584</v>
      </c>
      <c r="D16" s="1">
        <v>0.0934</v>
      </c>
      <c r="E16" s="1">
        <f t="shared" si="12"/>
        <v>93.4</v>
      </c>
      <c r="F16" s="5">
        <f>(D18-D16)/(D18)*100</f>
        <v>87.67810026</v>
      </c>
      <c r="G16" s="18">
        <f t="shared" si="13"/>
        <v>0.8767810026</v>
      </c>
      <c r="H16" s="18">
        <v>333.0</v>
      </c>
      <c r="I16" s="18">
        <f t="shared" si="14"/>
        <v>3.003003003</v>
      </c>
      <c r="J16" s="5">
        <f t="shared" si="15"/>
        <v>10.16428145</v>
      </c>
      <c r="K16" s="1">
        <f t="shared" si="16"/>
        <v>1.007076682</v>
      </c>
      <c r="L16" s="1">
        <f t="shared" si="17"/>
        <v>-1.515367551</v>
      </c>
      <c r="M16" s="1">
        <f t="shared" si="18"/>
        <v>399.1874812</v>
      </c>
      <c r="N16" s="1">
        <f t="shared" si="19"/>
        <v>2.544068044</v>
      </c>
      <c r="O16" s="1">
        <f t="shared" si="20"/>
        <v>-0.05710886869</v>
      </c>
      <c r="P16" s="1">
        <f t="shared" si="21"/>
        <v>0.8522134607</v>
      </c>
    </row>
    <row r="17">
      <c r="A17" s="1">
        <v>450.0</v>
      </c>
      <c r="B17" s="1">
        <v>6.215</v>
      </c>
      <c r="C17" s="1">
        <v>6.139</v>
      </c>
      <c r="D17" s="1">
        <v>0.076</v>
      </c>
      <c r="E17" s="1">
        <f t="shared" si="12"/>
        <v>76</v>
      </c>
      <c r="F17" s="5">
        <f>(D18-D17)/(D18)*100</f>
        <v>89.97361478</v>
      </c>
      <c r="G17" s="18">
        <f t="shared" si="13"/>
        <v>0.8997361478</v>
      </c>
      <c r="H17" s="18">
        <v>343.0</v>
      </c>
      <c r="I17" s="18">
        <f t="shared" si="14"/>
        <v>2.915451895</v>
      </c>
      <c r="J17" s="5">
        <f t="shared" si="15"/>
        <v>8.270721527</v>
      </c>
      <c r="K17" s="1">
        <f t="shared" si="16"/>
        <v>0.9175433985</v>
      </c>
      <c r="L17" s="1">
        <f t="shared" si="17"/>
        <v>-1.617750722</v>
      </c>
      <c r="M17" s="1">
        <f t="shared" si="18"/>
        <v>500.1466276</v>
      </c>
      <c r="N17" s="1">
        <f t="shared" si="19"/>
        <v>2.653212514</v>
      </c>
      <c r="O17" s="1">
        <f t="shared" si="20"/>
        <v>-0.04588483098</v>
      </c>
      <c r="P17" s="1">
        <f t="shared" si="21"/>
        <v>0.9529707824</v>
      </c>
    </row>
    <row r="18">
      <c r="A18" s="1" t="s">
        <v>13</v>
      </c>
      <c r="B18" s="1">
        <v>7.291</v>
      </c>
      <c r="C18" s="1">
        <v>6.533</v>
      </c>
      <c r="D18" s="1">
        <v>0.758</v>
      </c>
      <c r="E18" s="1">
        <f t="shared" si="12"/>
        <v>758</v>
      </c>
      <c r="F18" s="5"/>
      <c r="G18" s="18"/>
      <c r="H18" s="18"/>
      <c r="I18" s="18"/>
      <c r="J18" s="5">
        <f t="shared" si="15"/>
        <v>82.4895647</v>
      </c>
      <c r="K18" s="1">
        <f t="shared" si="16"/>
        <v>1.916399012</v>
      </c>
      <c r="L18" s="1">
        <f>LOG10(J18/H14)</f>
        <v>-0.5791453257</v>
      </c>
    </row>
    <row r="20">
      <c r="A20" s="1" t="s">
        <v>66</v>
      </c>
    </row>
    <row r="21" ht="15.75" customHeight="1">
      <c r="A21" s="1" t="s">
        <v>4</v>
      </c>
      <c r="B21" s="1" t="s">
        <v>5</v>
      </c>
      <c r="C21" s="1" t="s">
        <v>6</v>
      </c>
      <c r="D21" s="1" t="s">
        <v>28</v>
      </c>
      <c r="E21" s="1" t="s">
        <v>29</v>
      </c>
      <c r="F21" s="1" t="s">
        <v>17</v>
      </c>
      <c r="G21" s="1" t="s">
        <v>38</v>
      </c>
      <c r="H21" s="1" t="s">
        <v>63</v>
      </c>
      <c r="I21" s="1" t="s">
        <v>40</v>
      </c>
      <c r="J21" s="1" t="s">
        <v>25</v>
      </c>
      <c r="K21" s="1" t="s">
        <v>41</v>
      </c>
      <c r="L21" s="1" t="s">
        <v>64</v>
      </c>
      <c r="M21" s="1" t="s">
        <v>43</v>
      </c>
      <c r="N21" s="1" t="s">
        <v>44</v>
      </c>
      <c r="O21" s="1" t="s">
        <v>45</v>
      </c>
      <c r="P21" s="1" t="s">
        <v>46</v>
      </c>
      <c r="Q21" s="1" t="s">
        <v>39</v>
      </c>
      <c r="R21" s="1" t="s">
        <v>59</v>
      </c>
    </row>
    <row r="22" ht="15.75" customHeight="1">
      <c r="A22" s="1">
        <v>50.0</v>
      </c>
      <c r="B22" s="1">
        <v>6.431</v>
      </c>
      <c r="C22" s="1">
        <v>5.648</v>
      </c>
      <c r="D22" s="1">
        <v>0.783</v>
      </c>
      <c r="E22" s="1">
        <f t="shared" ref="E22:E27" si="22">D22*1000</f>
        <v>783</v>
      </c>
      <c r="F22" s="5">
        <f>(D27-D22)/(D27)*100</f>
        <v>35.02074689</v>
      </c>
      <c r="G22" s="18">
        <f t="shared" ref="G22:G26" si="23">F22/100</f>
        <v>0.3502074689</v>
      </c>
      <c r="H22" s="18">
        <v>303.0</v>
      </c>
      <c r="I22" s="18">
        <f t="shared" ref="I22:I26" si="24">1/H22*1000</f>
        <v>3.300330033</v>
      </c>
      <c r="J22" s="5">
        <f t="shared" ref="J22:J27" si="25">(87.6*E22)/(6*17.2*7.8)</f>
        <v>85.21019678</v>
      </c>
      <c r="K22" s="1">
        <f t="shared" ref="K22:K27" si="26">LOG10(J22)</f>
        <v>1.930491568</v>
      </c>
      <c r="L22" s="1">
        <f t="shared" ref="L22:L26" si="27">LOG10(J22/H22)</f>
        <v>-0.5509510603</v>
      </c>
      <c r="M22" s="1">
        <f t="shared" ref="M22:M26" si="28">A22/G22</f>
        <v>142.7725118</v>
      </c>
      <c r="N22" s="1">
        <f t="shared" ref="N22:N26" si="29">LOG10(A22)</f>
        <v>1.698970004</v>
      </c>
      <c r="O22" s="1">
        <f t="shared" ref="O22:O26" si="30">LOG(G22)</f>
        <v>-0.4556745959</v>
      </c>
      <c r="P22" s="1">
        <f t="shared" ref="P22:P26" si="31">LOG10(G22/(1-G22))</f>
        <v>-0.2684493111</v>
      </c>
      <c r="Q22" s="1">
        <v>303.0</v>
      </c>
      <c r="R22" s="1">
        <f t="shared" ref="R22:R26" si="32">1/Q22*1000</f>
        <v>3.300330033</v>
      </c>
    </row>
    <row r="23" ht="15.75" customHeight="1">
      <c r="A23" s="1">
        <v>150.0</v>
      </c>
      <c r="B23" s="1">
        <v>7.244</v>
      </c>
      <c r="C23" s="1">
        <v>6.629</v>
      </c>
      <c r="D23" s="1">
        <v>0.615</v>
      </c>
      <c r="E23" s="1">
        <f t="shared" si="22"/>
        <v>615</v>
      </c>
      <c r="F23" s="5">
        <f>(D27-D23)/(D27)*100</f>
        <v>48.9626556</v>
      </c>
      <c r="G23" s="18">
        <f t="shared" si="23"/>
        <v>0.489626556</v>
      </c>
      <c r="H23" s="18">
        <v>313.0</v>
      </c>
      <c r="I23" s="18">
        <f t="shared" si="24"/>
        <v>3.194888179</v>
      </c>
      <c r="J23" s="5">
        <f t="shared" si="25"/>
        <v>66.92754919</v>
      </c>
      <c r="K23" s="1">
        <f t="shared" si="26"/>
        <v>1.825604922</v>
      </c>
      <c r="L23" s="1">
        <f t="shared" si="27"/>
        <v>-0.6699394156</v>
      </c>
      <c r="M23" s="1">
        <f t="shared" si="28"/>
        <v>306.3559322</v>
      </c>
      <c r="N23" s="1">
        <f t="shared" si="29"/>
        <v>2.176091259</v>
      </c>
      <c r="O23" s="1">
        <f t="shared" si="30"/>
        <v>-0.3101350353</v>
      </c>
      <c r="P23" s="1">
        <f t="shared" si="31"/>
        <v>-0.01802310413</v>
      </c>
      <c r="Q23" s="1">
        <v>313.0</v>
      </c>
      <c r="R23" s="1">
        <f t="shared" si="32"/>
        <v>3.194888179</v>
      </c>
    </row>
    <row r="24" ht="15.75" customHeight="1">
      <c r="A24" s="1">
        <v>250.0</v>
      </c>
      <c r="B24" s="1">
        <v>7.443</v>
      </c>
      <c r="C24" s="1">
        <v>6.877</v>
      </c>
      <c r="D24" s="1">
        <v>0.566</v>
      </c>
      <c r="E24" s="1">
        <f t="shared" si="22"/>
        <v>566</v>
      </c>
      <c r="F24" s="5">
        <f>(D27-D24)/(D27)*100</f>
        <v>53.02904564</v>
      </c>
      <c r="G24" s="18">
        <f t="shared" si="23"/>
        <v>0.5302904564</v>
      </c>
      <c r="H24" s="18">
        <v>323.0</v>
      </c>
      <c r="I24" s="18">
        <f t="shared" si="24"/>
        <v>3.095975232</v>
      </c>
      <c r="J24" s="5">
        <f t="shared" si="25"/>
        <v>61.59511032</v>
      </c>
      <c r="K24" s="1">
        <f t="shared" si="26"/>
        <v>1.789546237</v>
      </c>
      <c r="L24" s="1">
        <f t="shared" si="27"/>
        <v>-0.719656285</v>
      </c>
      <c r="M24" s="1">
        <f t="shared" si="28"/>
        <v>471.4397496</v>
      </c>
      <c r="N24" s="1">
        <f t="shared" si="29"/>
        <v>2.397940009</v>
      </c>
      <c r="O24" s="1">
        <f t="shared" si="30"/>
        <v>-0.2754861888</v>
      </c>
      <c r="P24" s="1">
        <f t="shared" si="31"/>
        <v>0.05268442697</v>
      </c>
      <c r="Q24" s="1">
        <v>323.0</v>
      </c>
      <c r="R24" s="1">
        <f t="shared" si="32"/>
        <v>3.095975232</v>
      </c>
    </row>
    <row r="25" ht="15.75" customHeight="1">
      <c r="A25" s="1">
        <v>350.0</v>
      </c>
      <c r="B25" s="1">
        <v>4.494</v>
      </c>
      <c r="C25" s="1">
        <v>4.084</v>
      </c>
      <c r="D25" s="1">
        <v>0.41</v>
      </c>
      <c r="E25" s="1">
        <f t="shared" si="22"/>
        <v>410</v>
      </c>
      <c r="F25" s="5">
        <f>(D27-D25)/(D27)*100</f>
        <v>65.97510373</v>
      </c>
      <c r="G25" s="18">
        <f t="shared" si="23"/>
        <v>0.6597510373</v>
      </c>
      <c r="H25" s="18">
        <v>333.0</v>
      </c>
      <c r="I25" s="18">
        <f t="shared" si="24"/>
        <v>3.003003003</v>
      </c>
      <c r="J25" s="5">
        <f t="shared" si="25"/>
        <v>44.61836613</v>
      </c>
      <c r="K25" s="1">
        <f t="shared" si="26"/>
        <v>1.649513663</v>
      </c>
      <c r="L25" s="1">
        <f t="shared" si="27"/>
        <v>-0.8729305706</v>
      </c>
      <c r="M25" s="1">
        <f t="shared" si="28"/>
        <v>530.5031447</v>
      </c>
      <c r="N25" s="1">
        <f t="shared" si="29"/>
        <v>2.544068044</v>
      </c>
      <c r="O25" s="1">
        <f t="shared" si="30"/>
        <v>-0.1806199183</v>
      </c>
      <c r="P25" s="1">
        <f t="shared" si="31"/>
        <v>0.2875832719</v>
      </c>
      <c r="Q25" s="1">
        <v>333.0</v>
      </c>
      <c r="R25" s="1">
        <f t="shared" si="32"/>
        <v>3.003003003</v>
      </c>
    </row>
    <row r="26" ht="15.75" customHeight="1">
      <c r="A26" s="1">
        <v>450.0</v>
      </c>
      <c r="B26" s="1">
        <v>6.169</v>
      </c>
      <c r="C26" s="1">
        <v>5.82</v>
      </c>
      <c r="D26" s="1">
        <v>0.349</v>
      </c>
      <c r="E26" s="1">
        <f t="shared" si="22"/>
        <v>349</v>
      </c>
      <c r="F26" s="5">
        <f>(D27-D26)/(D27)*100</f>
        <v>71.0373444</v>
      </c>
      <c r="G26" s="18">
        <f t="shared" si="23"/>
        <v>0.710373444</v>
      </c>
      <c r="H26" s="18">
        <v>343.0</v>
      </c>
      <c r="I26" s="18">
        <f t="shared" si="24"/>
        <v>2.915451895</v>
      </c>
      <c r="J26" s="5">
        <f t="shared" si="25"/>
        <v>37.98002385</v>
      </c>
      <c r="K26" s="1">
        <f t="shared" si="26"/>
        <v>1.579555233</v>
      </c>
      <c r="L26" s="1">
        <f t="shared" si="27"/>
        <v>-0.9557388869</v>
      </c>
      <c r="M26" s="1">
        <f t="shared" si="28"/>
        <v>633.4696262</v>
      </c>
      <c r="N26" s="1">
        <f t="shared" si="29"/>
        <v>2.653212514</v>
      </c>
      <c r="O26" s="1">
        <f t="shared" si="30"/>
        <v>-0.1485132822</v>
      </c>
      <c r="P26" s="1">
        <f t="shared" si="31"/>
        <v>0.3896483377</v>
      </c>
      <c r="Q26" s="1">
        <v>343.0</v>
      </c>
      <c r="R26" s="1">
        <f t="shared" si="32"/>
        <v>2.915451895</v>
      </c>
    </row>
    <row r="27" ht="15.75" customHeight="1">
      <c r="A27" s="1" t="s">
        <v>13</v>
      </c>
      <c r="B27" s="1">
        <v>7.215</v>
      </c>
      <c r="C27" s="1">
        <v>6.01</v>
      </c>
      <c r="D27" s="1">
        <v>1.205</v>
      </c>
      <c r="E27" s="1">
        <f t="shared" si="22"/>
        <v>1205</v>
      </c>
      <c r="F27" s="5"/>
      <c r="G27" s="5"/>
      <c r="H27" s="5"/>
      <c r="I27" s="5"/>
      <c r="J27" s="5">
        <f t="shared" si="25"/>
        <v>131.1344663</v>
      </c>
      <c r="K27" s="1">
        <f t="shared" si="26"/>
        <v>2.117716853</v>
      </c>
      <c r="L27" s="1">
        <f>LOG10(J27/H24)</f>
        <v>-0.3914856692</v>
      </c>
    </row>
    <row r="28" ht="15.75" customHeight="1"/>
    <row r="29" ht="15.75" customHeight="1">
      <c r="A29" s="1" t="s">
        <v>67</v>
      </c>
    </row>
    <row r="30" ht="15.75" customHeight="1">
      <c r="A30" s="1" t="s">
        <v>4</v>
      </c>
      <c r="B30" s="1" t="s">
        <v>5</v>
      </c>
      <c r="C30" s="1" t="s">
        <v>6</v>
      </c>
      <c r="D30" s="1" t="s">
        <v>28</v>
      </c>
      <c r="E30" s="1" t="s">
        <v>16</v>
      </c>
      <c r="F30" s="1" t="s">
        <v>17</v>
      </c>
      <c r="G30" s="1" t="s">
        <v>38</v>
      </c>
      <c r="H30" s="1" t="s">
        <v>63</v>
      </c>
      <c r="I30" s="1" t="s">
        <v>40</v>
      </c>
      <c r="J30" s="1" t="s">
        <v>11</v>
      </c>
      <c r="K30" s="1" t="s">
        <v>41</v>
      </c>
      <c r="L30" s="1" t="s">
        <v>64</v>
      </c>
      <c r="M30" s="1" t="s">
        <v>43</v>
      </c>
      <c r="N30" s="1" t="s">
        <v>44</v>
      </c>
      <c r="O30" s="1" t="s">
        <v>45</v>
      </c>
      <c r="P30" s="1" t="s">
        <v>46</v>
      </c>
    </row>
    <row r="31" ht="15.75" customHeight="1">
      <c r="A31" s="1">
        <v>50.0</v>
      </c>
      <c r="B31" s="1">
        <v>6.381</v>
      </c>
      <c r="C31" s="1">
        <v>4.482</v>
      </c>
      <c r="D31" s="1">
        <v>1.899</v>
      </c>
      <c r="E31" s="1">
        <f t="shared" ref="E31:E36" si="33">D31*1000</f>
        <v>1899</v>
      </c>
      <c r="F31" s="5">
        <f>(D36-D31)/(D36)*100</f>
        <v>18.98464164</v>
      </c>
      <c r="G31" s="18">
        <f t="shared" ref="G31:G35" si="34">F31/100</f>
        <v>0.1898464164</v>
      </c>
      <c r="H31" s="18">
        <v>303.0</v>
      </c>
      <c r="I31" s="18">
        <f t="shared" ref="I31:I35" si="35">1/H31*1000</f>
        <v>3.300330033</v>
      </c>
      <c r="J31" s="5">
        <f t="shared" ref="J31:J36" si="36">(87.6*E31)/(6*17.2*7.8)</f>
        <v>206.6592129</v>
      </c>
      <c r="K31" s="1">
        <f t="shared" ref="K31:K36" si="37">LOG10(J31)</f>
        <v>2.315254771</v>
      </c>
      <c r="L31" s="1">
        <f t="shared" ref="L31:L35" si="38">LOG10(J31/H31)</f>
        <v>-0.1661878576</v>
      </c>
      <c r="M31" s="1">
        <f t="shared" ref="M31:M35" si="39">A31/G31</f>
        <v>263.3707865</v>
      </c>
      <c r="N31" s="1">
        <f t="shared" ref="N31:N35" si="40">LOG10(A31)</f>
        <v>1.698970004</v>
      </c>
      <c r="O31" s="1">
        <f t="shared" ref="O31:O35" si="41">LOG(G31)</f>
        <v>-0.7215975964</v>
      </c>
      <c r="P31" s="1">
        <f t="shared" ref="P31:P35" si="42">LOG10(G31/(1-G31))</f>
        <v>-0.6301649538</v>
      </c>
    </row>
    <row r="32" ht="15.75" customHeight="1">
      <c r="A32" s="1">
        <v>150.0</v>
      </c>
      <c r="B32" s="1">
        <v>5.843</v>
      </c>
      <c r="C32" s="1">
        <v>4.015</v>
      </c>
      <c r="D32" s="1">
        <v>1.828</v>
      </c>
      <c r="E32" s="1">
        <f t="shared" si="33"/>
        <v>1828</v>
      </c>
      <c r="F32" s="5">
        <f>(D36-D32)/(D36)*100</f>
        <v>22.01365188</v>
      </c>
      <c r="G32" s="18">
        <f t="shared" si="34"/>
        <v>0.2201365188</v>
      </c>
      <c r="H32" s="18">
        <v>313.0</v>
      </c>
      <c r="I32" s="18">
        <f t="shared" si="35"/>
        <v>3.194888179</v>
      </c>
      <c r="J32" s="5">
        <f t="shared" si="36"/>
        <v>198.9326178</v>
      </c>
      <c r="K32" s="1">
        <f t="shared" si="37"/>
        <v>2.298705998</v>
      </c>
      <c r="L32" s="1">
        <f t="shared" si="38"/>
        <v>-0.19683834</v>
      </c>
      <c r="M32" s="1">
        <f t="shared" si="39"/>
        <v>681.3953488</v>
      </c>
      <c r="N32" s="1">
        <f t="shared" si="40"/>
        <v>2.176091259</v>
      </c>
      <c r="O32" s="1">
        <f t="shared" si="41"/>
        <v>-0.6573079057</v>
      </c>
      <c r="P32" s="1">
        <f t="shared" si="42"/>
        <v>-0.5493264898</v>
      </c>
    </row>
    <row r="33" ht="15.75" customHeight="1">
      <c r="A33" s="1">
        <v>250.0</v>
      </c>
      <c r="B33" s="1">
        <v>6.915</v>
      </c>
      <c r="C33" s="1">
        <v>5.204</v>
      </c>
      <c r="D33" s="1">
        <v>1.711</v>
      </c>
      <c r="E33" s="1">
        <f t="shared" si="33"/>
        <v>1711</v>
      </c>
      <c r="F33" s="5">
        <f>(D36-D33)/(D36)*100</f>
        <v>27.00511945</v>
      </c>
      <c r="G33" s="18">
        <f t="shared" si="34"/>
        <v>0.2700511945</v>
      </c>
      <c r="H33" s="18">
        <v>323.0</v>
      </c>
      <c r="I33" s="18">
        <f t="shared" si="35"/>
        <v>3.095975232</v>
      </c>
      <c r="J33" s="5">
        <f t="shared" si="36"/>
        <v>186.2000596</v>
      </c>
      <c r="K33" s="1">
        <f t="shared" si="37"/>
        <v>2.269979816</v>
      </c>
      <c r="L33" s="1">
        <f t="shared" si="38"/>
        <v>-0.2392227066</v>
      </c>
      <c r="M33" s="1">
        <f t="shared" si="39"/>
        <v>925.7503949</v>
      </c>
      <c r="N33" s="1">
        <f t="shared" si="40"/>
        <v>2.397940009</v>
      </c>
      <c r="O33" s="1">
        <f t="shared" si="41"/>
        <v>-0.5685538973</v>
      </c>
      <c r="P33" s="1">
        <f t="shared" si="42"/>
        <v>-0.4318462995</v>
      </c>
    </row>
    <row r="34" ht="15.75" customHeight="1">
      <c r="A34" s="1">
        <v>350.0</v>
      </c>
      <c r="B34" s="1">
        <v>5.733</v>
      </c>
      <c r="C34" s="1">
        <v>4.022</v>
      </c>
      <c r="D34" s="1">
        <v>1.711</v>
      </c>
      <c r="E34" s="1">
        <f t="shared" si="33"/>
        <v>1711</v>
      </c>
      <c r="F34" s="5">
        <f>(D36-D34)/(D36)*100</f>
        <v>27.00511945</v>
      </c>
      <c r="G34" s="18">
        <f t="shared" si="34"/>
        <v>0.2700511945</v>
      </c>
      <c r="H34" s="18">
        <v>333.0</v>
      </c>
      <c r="I34" s="18">
        <f t="shared" si="35"/>
        <v>3.003003003</v>
      </c>
      <c r="J34" s="5">
        <f t="shared" si="36"/>
        <v>186.2000596</v>
      </c>
      <c r="K34" s="1">
        <f t="shared" si="37"/>
        <v>2.269979816</v>
      </c>
      <c r="L34" s="1">
        <f t="shared" si="38"/>
        <v>-0.2524644178</v>
      </c>
      <c r="M34" s="1">
        <f t="shared" si="39"/>
        <v>1296.050553</v>
      </c>
      <c r="N34" s="1">
        <f t="shared" si="40"/>
        <v>2.544068044</v>
      </c>
      <c r="O34" s="1">
        <f t="shared" si="41"/>
        <v>-0.5685538973</v>
      </c>
      <c r="P34" s="1">
        <f t="shared" si="42"/>
        <v>-0.4318462995</v>
      </c>
    </row>
    <row r="35" ht="15.75" customHeight="1">
      <c r="A35" s="1">
        <v>450.0</v>
      </c>
      <c r="B35" s="1">
        <v>5.889</v>
      </c>
      <c r="C35" s="1">
        <v>4.225</v>
      </c>
      <c r="D35" s="1">
        <v>1.664</v>
      </c>
      <c r="E35" s="1">
        <f t="shared" si="33"/>
        <v>1664</v>
      </c>
      <c r="F35" s="5">
        <f>(D36-D35)/(D36)*100</f>
        <v>29.01023891</v>
      </c>
      <c r="G35" s="18">
        <f t="shared" si="34"/>
        <v>0.2901023891</v>
      </c>
      <c r="H35" s="18">
        <v>343.0</v>
      </c>
      <c r="I35" s="18">
        <f t="shared" si="35"/>
        <v>2.915451895</v>
      </c>
      <c r="J35" s="5">
        <f t="shared" si="36"/>
        <v>181.0852713</v>
      </c>
      <c r="K35" s="1">
        <f t="shared" si="37"/>
        <v>2.257883128</v>
      </c>
      <c r="L35" s="1">
        <f t="shared" si="38"/>
        <v>-0.2774109919</v>
      </c>
      <c r="M35" s="1">
        <f t="shared" si="39"/>
        <v>1551.176471</v>
      </c>
      <c r="N35" s="1">
        <f t="shared" si="40"/>
        <v>2.653212514</v>
      </c>
      <c r="O35" s="1">
        <f t="shared" si="41"/>
        <v>-0.5374486946</v>
      </c>
      <c r="P35" s="1">
        <f t="shared" si="42"/>
        <v>-0.3886444092</v>
      </c>
    </row>
    <row r="36" ht="15.75" customHeight="1">
      <c r="A36" s="1" t="s">
        <v>13</v>
      </c>
      <c r="B36" s="1">
        <v>6.646</v>
      </c>
      <c r="C36" s="1">
        <v>4.302</v>
      </c>
      <c r="D36" s="1">
        <v>2.344</v>
      </c>
      <c r="E36" s="1">
        <f t="shared" si="33"/>
        <v>2344</v>
      </c>
      <c r="F36" s="5"/>
      <c r="G36" s="5"/>
      <c r="H36" s="5"/>
      <c r="I36" s="5"/>
      <c r="J36" s="5">
        <f t="shared" si="36"/>
        <v>255.0864639</v>
      </c>
      <c r="K36" s="1">
        <f t="shared" si="37"/>
        <v>2.406687414</v>
      </c>
      <c r="L36" s="1">
        <f>LOG10(J36/H34)</f>
        <v>-0.11575682</v>
      </c>
    </row>
    <row r="37" ht="15.75" customHeight="1"/>
    <row r="38" ht="15.75" customHeight="1">
      <c r="A38" s="1" t="s">
        <v>68</v>
      </c>
    </row>
    <row r="39" ht="15.75" customHeight="1">
      <c r="A39" s="1" t="s">
        <v>4</v>
      </c>
      <c r="B39" s="1" t="s">
        <v>5</v>
      </c>
      <c r="C39" s="1" t="s">
        <v>6</v>
      </c>
      <c r="D39" s="1" t="s">
        <v>28</v>
      </c>
      <c r="E39" s="1" t="s">
        <v>16</v>
      </c>
      <c r="F39" s="1" t="s">
        <v>17</v>
      </c>
      <c r="G39" s="1" t="s">
        <v>38</v>
      </c>
      <c r="H39" s="1" t="s">
        <v>63</v>
      </c>
      <c r="I39" s="1" t="s">
        <v>40</v>
      </c>
      <c r="J39" s="1" t="s">
        <v>11</v>
      </c>
      <c r="K39" s="1" t="s">
        <v>41</v>
      </c>
      <c r="L39" s="1" t="s">
        <v>64</v>
      </c>
      <c r="M39" s="1" t="s">
        <v>43</v>
      </c>
      <c r="N39" s="1" t="s">
        <v>44</v>
      </c>
      <c r="O39" s="1" t="s">
        <v>45</v>
      </c>
      <c r="P39" s="1" t="s">
        <v>46</v>
      </c>
    </row>
    <row r="40" ht="15.75" customHeight="1">
      <c r="A40" s="1">
        <v>50.0</v>
      </c>
      <c r="B40" s="1">
        <v>6.345</v>
      </c>
      <c r="C40" s="1">
        <v>2.018</v>
      </c>
      <c r="D40" s="1">
        <v>4.327</v>
      </c>
      <c r="E40" s="1">
        <f t="shared" ref="E40:E45" si="43">D40*1000</f>
        <v>4327</v>
      </c>
      <c r="F40" s="1">
        <f>(D45-D40)/(D45)*100</f>
        <v>8.287409919</v>
      </c>
      <c r="G40" s="18">
        <f t="shared" ref="G40:G44" si="44">F40/100</f>
        <v>0.08287409919</v>
      </c>
      <c r="H40" s="18">
        <v>303.0</v>
      </c>
      <c r="I40" s="18">
        <f t="shared" ref="I40:I44" si="45">1/H40*1000</f>
        <v>3.300330033</v>
      </c>
      <c r="J40" s="1">
        <f t="shared" ref="J40:J45" si="46">(87.6*E40)/(6*17.2*7.8)</f>
        <v>470.8870006</v>
      </c>
      <c r="K40" s="1">
        <f t="shared" ref="K40:K45" si="47">LOG10(J40)</f>
        <v>2.672916701</v>
      </c>
      <c r="L40" s="1">
        <f t="shared" ref="L40:L44" si="48">LOG10(J40/H40)</f>
        <v>0.1914740729</v>
      </c>
      <c r="M40" s="1">
        <f t="shared" ref="M40:M44" si="49">A40/G40</f>
        <v>603.3248082</v>
      </c>
      <c r="N40" s="1">
        <f t="shared" ref="N40:N44" si="50">LOG10(A40)</f>
        <v>1.698970004</v>
      </c>
      <c r="O40" s="1">
        <f t="shared" ref="O40:O44" si="51">LOG(G40)</f>
        <v>-1.081581179</v>
      </c>
      <c r="P40" s="1">
        <f t="shared" ref="P40:P44" si="52">LOG10(G40/(1-G40))</f>
        <v>-1.044010138</v>
      </c>
    </row>
    <row r="41" ht="15.75" customHeight="1">
      <c r="A41" s="1">
        <v>150.0</v>
      </c>
      <c r="B41" s="1">
        <v>5.733</v>
      </c>
      <c r="C41" s="1">
        <v>1.358</v>
      </c>
      <c r="D41" s="1">
        <v>4.375</v>
      </c>
      <c r="E41" s="1">
        <f t="shared" si="43"/>
        <v>4375</v>
      </c>
      <c r="F41" s="1">
        <f>(D45-D41)/(D45)*100</f>
        <v>7.270029674</v>
      </c>
      <c r="G41" s="18">
        <f t="shared" si="44"/>
        <v>0.07270029674</v>
      </c>
      <c r="H41" s="18">
        <v>313.0</v>
      </c>
      <c r="I41" s="18">
        <f t="shared" si="45"/>
        <v>3.194888179</v>
      </c>
      <c r="J41" s="1">
        <f t="shared" si="46"/>
        <v>476.1106142</v>
      </c>
      <c r="K41" s="1">
        <f t="shared" si="47"/>
        <v>2.677707864</v>
      </c>
      <c r="L41" s="1">
        <f t="shared" si="48"/>
        <v>0.182163526</v>
      </c>
      <c r="M41" s="1">
        <f t="shared" si="49"/>
        <v>2063.265306</v>
      </c>
      <c r="N41" s="1">
        <f t="shared" si="50"/>
        <v>2.176091259</v>
      </c>
      <c r="O41" s="1">
        <f t="shared" si="51"/>
        <v>-1.138463817</v>
      </c>
      <c r="P41" s="1">
        <f t="shared" si="52"/>
        <v>-1.105683937</v>
      </c>
    </row>
    <row r="42" ht="15.75" customHeight="1">
      <c r="A42" s="1">
        <v>250.0</v>
      </c>
      <c r="B42" s="1">
        <v>6.83</v>
      </c>
      <c r="C42" s="1">
        <v>2.646</v>
      </c>
      <c r="D42" s="1">
        <v>4.184</v>
      </c>
      <c r="E42" s="1">
        <f t="shared" si="43"/>
        <v>4184</v>
      </c>
      <c r="F42" s="1">
        <f>(D45-D42)/(D45)*100</f>
        <v>11.31835524</v>
      </c>
      <c r="G42" s="18">
        <f t="shared" si="44"/>
        <v>0.1131835524</v>
      </c>
      <c r="H42" s="18">
        <v>323.0</v>
      </c>
      <c r="I42" s="18">
        <f t="shared" si="45"/>
        <v>3.095975232</v>
      </c>
      <c r="J42" s="1">
        <f t="shared" si="46"/>
        <v>455.3249851</v>
      </c>
      <c r="K42" s="1">
        <f t="shared" si="47"/>
        <v>2.658321482</v>
      </c>
      <c r="L42" s="1">
        <f t="shared" si="48"/>
        <v>0.1491189597</v>
      </c>
      <c r="M42" s="1">
        <f t="shared" si="49"/>
        <v>2208.801498</v>
      </c>
      <c r="N42" s="1">
        <f t="shared" si="50"/>
        <v>2.397940009</v>
      </c>
      <c r="O42" s="1">
        <f t="shared" si="51"/>
        <v>-0.9462166795</v>
      </c>
      <c r="P42" s="1">
        <f t="shared" si="52"/>
        <v>-0.8940504188</v>
      </c>
    </row>
    <row r="43" ht="15.75" customHeight="1">
      <c r="A43" s="1">
        <v>350.0</v>
      </c>
      <c r="B43" s="1">
        <v>6.295</v>
      </c>
      <c r="C43" s="1">
        <v>2.158</v>
      </c>
      <c r="D43" s="1">
        <v>4.137</v>
      </c>
      <c r="E43" s="1">
        <f t="shared" si="43"/>
        <v>4137</v>
      </c>
      <c r="F43" s="1">
        <f>(D45-D43)/(D45)*100</f>
        <v>12.31454006</v>
      </c>
      <c r="G43" s="18">
        <f t="shared" si="44"/>
        <v>0.1231454006</v>
      </c>
      <c r="H43" s="18">
        <v>333.0</v>
      </c>
      <c r="I43" s="18">
        <f t="shared" si="45"/>
        <v>3.003003003</v>
      </c>
      <c r="J43" s="1">
        <f t="shared" si="46"/>
        <v>450.2101968</v>
      </c>
      <c r="K43" s="1">
        <f t="shared" si="47"/>
        <v>2.653415327</v>
      </c>
      <c r="L43" s="1">
        <f t="shared" si="48"/>
        <v>0.1309710936</v>
      </c>
      <c r="M43" s="1">
        <f t="shared" si="49"/>
        <v>2842.168675</v>
      </c>
      <c r="N43" s="1">
        <f t="shared" si="50"/>
        <v>2.544068044</v>
      </c>
      <c r="O43" s="1">
        <f t="shared" si="51"/>
        <v>-0.9095818042</v>
      </c>
      <c r="P43" s="1">
        <f t="shared" si="52"/>
        <v>-0.8525093885</v>
      </c>
    </row>
    <row r="44" ht="15.75" customHeight="1">
      <c r="A44" s="1">
        <v>450.0</v>
      </c>
      <c r="B44" s="1">
        <v>6.031</v>
      </c>
      <c r="C44" s="1">
        <v>2.37</v>
      </c>
      <c r="D44" s="1">
        <v>3.661</v>
      </c>
      <c r="E44" s="1">
        <f t="shared" si="43"/>
        <v>3661</v>
      </c>
      <c r="F44" s="1">
        <f>(D45-D44)/(D45)*100</f>
        <v>22.40356083</v>
      </c>
      <c r="G44" s="18">
        <f t="shared" si="44"/>
        <v>0.2240356083</v>
      </c>
      <c r="H44" s="18">
        <v>343.0</v>
      </c>
      <c r="I44" s="18">
        <f t="shared" si="45"/>
        <v>2.915451895</v>
      </c>
      <c r="J44" s="1">
        <f t="shared" si="46"/>
        <v>398.409362</v>
      </c>
      <c r="K44" s="1">
        <f t="shared" si="47"/>
        <v>2.600329535</v>
      </c>
      <c r="L44" s="1">
        <f t="shared" si="48"/>
        <v>0.06503541503</v>
      </c>
      <c r="M44" s="1">
        <f t="shared" si="49"/>
        <v>2008.609272</v>
      </c>
      <c r="N44" s="1">
        <f t="shared" si="50"/>
        <v>2.653212514</v>
      </c>
      <c r="O44" s="1">
        <f t="shared" si="51"/>
        <v>-0.6496829492</v>
      </c>
      <c r="P44" s="1">
        <f t="shared" si="52"/>
        <v>-0.5395247416</v>
      </c>
    </row>
    <row r="45" ht="15.75" customHeight="1">
      <c r="A45" s="1" t="s">
        <v>13</v>
      </c>
      <c r="B45" s="1">
        <v>5.297</v>
      </c>
      <c r="C45" s="1">
        <v>0.579</v>
      </c>
      <c r="D45" s="1">
        <f>B45-C45</f>
        <v>4.718</v>
      </c>
      <c r="E45" s="1">
        <f t="shared" si="43"/>
        <v>4718</v>
      </c>
      <c r="J45" s="1">
        <f t="shared" si="46"/>
        <v>513.4376863</v>
      </c>
      <c r="K45" s="1">
        <f t="shared" si="47"/>
        <v>2.710487743</v>
      </c>
      <c r="L45" s="1">
        <f>LOG10(J45/H44)</f>
        <v>0.1751936227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2025-11-04T19:17:40Z</dcterms:created>
  <dc:creator>SUKKOMANIA</dc:creator>
</cp:coreProperties>
</file>