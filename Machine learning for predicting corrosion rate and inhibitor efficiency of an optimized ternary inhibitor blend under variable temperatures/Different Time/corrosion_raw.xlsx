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ubest De Great\Downloads\"/>
    </mc:Choice>
  </mc:AlternateContent>
  <xr:revisionPtr revIDLastSave="0" documentId="8_{16A2E0A4-3B02-4D94-9A05-C9BE49E2556D}" xr6:coauthVersionLast="47" xr6:coauthVersionMax="47" xr10:uidLastSave="{00000000-0000-0000-0000-000000000000}"/>
  <bookViews>
    <workbookView xWindow="1116" yWindow="504" windowWidth="12216" windowHeight="12204" xr2:uid="{19829E39-99FC-49D0-A5B6-F945D7F95E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1" i="1" l="1"/>
  <c r="E31" i="1" s="1"/>
  <c r="G31" i="1" s="1"/>
  <c r="D30" i="1"/>
  <c r="E30" i="1" s="1"/>
  <c r="G30" i="1" s="1"/>
  <c r="D29" i="1"/>
  <c r="E29" i="1" s="1"/>
  <c r="G29" i="1" s="1"/>
  <c r="D28" i="1"/>
  <c r="E28" i="1" s="1"/>
  <c r="G28" i="1" s="1"/>
  <c r="D27" i="1"/>
  <c r="E27" i="1" s="1"/>
  <c r="G27" i="1" s="1"/>
  <c r="D26" i="1"/>
  <c r="E26" i="1" s="1"/>
  <c r="G26" i="1" s="1"/>
  <c r="D25" i="1"/>
  <c r="E25" i="1" s="1"/>
  <c r="G25" i="1" s="1"/>
  <c r="D24" i="1"/>
  <c r="D23" i="1"/>
  <c r="E23" i="1" s="1"/>
  <c r="G23" i="1" s="1"/>
  <c r="D22" i="1"/>
  <c r="D21" i="1"/>
  <c r="E21" i="1" s="1"/>
  <c r="G21" i="1" s="1"/>
  <c r="D20" i="1"/>
  <c r="D19" i="1"/>
  <c r="E19" i="1" s="1"/>
  <c r="G19" i="1" s="1"/>
  <c r="D18" i="1"/>
  <c r="D17" i="1"/>
  <c r="E17" i="1" s="1"/>
  <c r="G17" i="1" s="1"/>
  <c r="D16" i="1"/>
  <c r="D15" i="1"/>
  <c r="E15" i="1" s="1"/>
  <c r="G15" i="1" s="1"/>
  <c r="D14" i="1"/>
  <c r="D13" i="1"/>
  <c r="E12" i="1"/>
  <c r="G12" i="1" s="1"/>
  <c r="D12" i="1"/>
  <c r="D11" i="1"/>
  <c r="E10" i="1"/>
  <c r="G10" i="1" s="1"/>
  <c r="D10" i="1"/>
  <c r="D9" i="1"/>
  <c r="E8" i="1"/>
  <c r="G8" i="1" s="1"/>
  <c r="D8" i="1"/>
  <c r="D7" i="1"/>
  <c r="D6" i="1"/>
  <c r="D5" i="1"/>
  <c r="D4" i="1"/>
  <c r="E4" i="1" s="1"/>
  <c r="G4" i="1" s="1"/>
  <c r="D3" i="1"/>
  <c r="D2" i="1"/>
  <c r="E20" i="1" l="1"/>
  <c r="G20" i="1" s="1"/>
  <c r="E22" i="1"/>
  <c r="G22" i="1" s="1"/>
  <c r="E24" i="1"/>
  <c r="G24" i="1" s="1"/>
  <c r="E14" i="1"/>
  <c r="G14" i="1" s="1"/>
  <c r="E16" i="1"/>
  <c r="G16" i="1" s="1"/>
  <c r="E18" i="1"/>
  <c r="G18" i="1" s="1"/>
  <c r="E9" i="1"/>
  <c r="G9" i="1" s="1"/>
  <c r="E11" i="1"/>
  <c r="G11" i="1" s="1"/>
  <c r="E13" i="1"/>
  <c r="G13" i="1" s="1"/>
  <c r="E2" i="1"/>
  <c r="G2" i="1" s="1"/>
  <c r="E6" i="1"/>
  <c r="G6" i="1" s="1"/>
  <c r="E3" i="1"/>
  <c r="G3" i="1" s="1"/>
  <c r="E5" i="1"/>
  <c r="G5" i="1" s="1"/>
  <c r="E7" i="1"/>
  <c r="G7" i="1" s="1"/>
</calcChain>
</file>

<file path=xl/sharedStrings.xml><?xml version="1.0" encoding="utf-8"?>
<sst xmlns="http://schemas.openxmlformats.org/spreadsheetml/2006/main" count="13" uniqueCount="9">
  <si>
    <t>concentration (ppm)</t>
  </si>
  <si>
    <t>Initial mass (g)</t>
  </si>
  <si>
    <t>Final mass (g)</t>
  </si>
  <si>
    <t>weight loss (g)</t>
  </si>
  <si>
    <t>weight loss(mg)</t>
  </si>
  <si>
    <t>inhibitor efficiency</t>
  </si>
  <si>
    <t>Corrosion rate(mm/y)</t>
  </si>
  <si>
    <t>blank</t>
  </si>
  <si>
    <t>Time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</si>
</sst>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6E3BC"/>
        <bgColor indexed="64"/>
      </patternFill>
    </fill>
    <fill>
      <patternFill patternType="solid">
        <fgColor rgb="FF96B3D7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165" fontId="1" fillId="3" borderId="5" xfId="0" applyNumberFormat="1" applyFont="1" applyFill="1" applyBorder="1" applyAlignment="1">
      <alignment horizontal="center"/>
    </xf>
    <xf numFmtId="166" fontId="1" fillId="3" borderId="5" xfId="0" applyNumberFormat="1" applyFont="1" applyFill="1" applyBorder="1" applyAlignment="1">
      <alignment horizontal="center"/>
    </xf>
    <xf numFmtId="165" fontId="1" fillId="3" borderId="7" xfId="0" applyNumberFormat="1" applyFont="1" applyFill="1" applyBorder="1" applyAlignment="1">
      <alignment horizontal="center"/>
    </xf>
    <xf numFmtId="166" fontId="1" fillId="3" borderId="7" xfId="0" applyNumberFormat="1" applyFont="1" applyFill="1" applyBorder="1" applyAlignment="1">
      <alignment horizontal="center"/>
    </xf>
    <xf numFmtId="165" fontId="1" fillId="3" borderId="9" xfId="0" applyNumberFormat="1" applyFont="1" applyFill="1" applyBorder="1" applyAlignment="1">
      <alignment horizontal="center"/>
    </xf>
    <xf numFmtId="166" fontId="1" fillId="3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2D23-6AC7-40E3-AF40-B213D5A8F5FB}">
  <dimension ref="A1:H31"/>
  <sheetViews>
    <sheetView tabSelected="1" topLeftCell="B5" workbookViewId="0">
      <selection sqref="A1:I32"/>
    </sheetView>
  </sheetViews>
  <sheetFormatPr defaultRowHeight="14.4" x14ac:dyDescent="0.3"/>
  <cols>
    <col min="1" max="1" width="17.44140625" bestFit="1" customWidth="1"/>
    <col min="2" max="2" width="12.77734375" bestFit="1" customWidth="1"/>
    <col min="3" max="3" width="12.21875" bestFit="1" customWidth="1"/>
    <col min="4" max="4" width="12.5546875" bestFit="1" customWidth="1"/>
    <col min="5" max="5" width="13.6640625" bestFit="1" customWidth="1"/>
    <col min="6" max="6" width="16" bestFit="1" customWidth="1"/>
    <col min="7" max="7" width="18.6640625" bestFit="1" customWidth="1"/>
    <col min="8" max="8" width="12" bestFit="1" customWidth="1"/>
  </cols>
  <sheetData>
    <row r="1" spans="1: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8</v>
      </c>
    </row>
    <row r="2" spans="1:8" x14ac:dyDescent="0.3">
      <c r="A2" s="4">
        <v>50</v>
      </c>
      <c r="B2" s="5">
        <v>4.8531000000000004</v>
      </c>
      <c r="C2" s="5">
        <v>4.7111999999999998</v>
      </c>
      <c r="D2" s="5">
        <f t="shared" ref="D2:D31" si="0">B2-C2</f>
        <v>0.14190000000000058</v>
      </c>
      <c r="E2" s="5">
        <f t="shared" ref="E2:E31" si="1">D2*1000</f>
        <v>141.90000000000057</v>
      </c>
      <c r="F2" s="5">
        <v>81.436000000000007</v>
      </c>
      <c r="G2" s="5">
        <f t="shared" ref="G2:G7" si="2">(87.6*E2)/(17.2*25*7.85)</f>
        <v>3.6825477707006518</v>
      </c>
      <c r="H2">
        <v>25</v>
      </c>
    </row>
    <row r="3" spans="1:8" x14ac:dyDescent="0.3">
      <c r="A3" s="6">
        <v>100</v>
      </c>
      <c r="B3" s="7">
        <v>5.0693000000000001</v>
      </c>
      <c r="C3" s="7">
        <v>4.9504000000000001</v>
      </c>
      <c r="D3" s="5">
        <f t="shared" si="0"/>
        <v>0.11890000000000001</v>
      </c>
      <c r="E3" s="5">
        <f t="shared" si="1"/>
        <v>118.9</v>
      </c>
      <c r="F3" s="5">
        <v>84.444999999999993</v>
      </c>
      <c r="G3" s="5">
        <f t="shared" si="2"/>
        <v>3.0856584209746702</v>
      </c>
      <c r="H3">
        <v>25</v>
      </c>
    </row>
    <row r="4" spans="1:8" x14ac:dyDescent="0.3">
      <c r="A4" s="6">
        <v>150</v>
      </c>
      <c r="B4" s="7">
        <v>5.0262000000000002</v>
      </c>
      <c r="C4" s="7">
        <v>4.9119000000000002</v>
      </c>
      <c r="D4" s="5">
        <f t="shared" si="0"/>
        <v>0.11430000000000007</v>
      </c>
      <c r="E4" s="5">
        <f t="shared" si="1"/>
        <v>114.30000000000007</v>
      </c>
      <c r="F4" s="5">
        <v>85.046999999999997</v>
      </c>
      <c r="G4" s="5">
        <f t="shared" si="2"/>
        <v>2.9662805510294787</v>
      </c>
      <c r="H4">
        <v>25</v>
      </c>
    </row>
    <row r="5" spans="1:8" x14ac:dyDescent="0.3">
      <c r="A5" s="6">
        <v>200</v>
      </c>
      <c r="B5" s="7">
        <v>4.9585999999999997</v>
      </c>
      <c r="C5" s="7">
        <v>4.8616999999999999</v>
      </c>
      <c r="D5" s="5">
        <f t="shared" si="0"/>
        <v>9.6899999999999764E-2</v>
      </c>
      <c r="E5" s="5">
        <f t="shared" si="1"/>
        <v>96.899999999999764</v>
      </c>
      <c r="F5" s="5">
        <v>87.322999999999993</v>
      </c>
      <c r="G5" s="5">
        <f t="shared" si="2"/>
        <v>2.5147207821063482</v>
      </c>
      <c r="H5">
        <v>25</v>
      </c>
    </row>
    <row r="6" spans="1:8" x14ac:dyDescent="0.3">
      <c r="A6" s="6">
        <v>250</v>
      </c>
      <c r="B6" s="7">
        <v>4.9246999999999996</v>
      </c>
      <c r="C6" s="7">
        <v>4.8338000000000001</v>
      </c>
      <c r="D6" s="5">
        <f t="shared" si="0"/>
        <v>9.0899999999999537E-2</v>
      </c>
      <c r="E6" s="5">
        <f t="shared" si="1"/>
        <v>90.899999999999537</v>
      </c>
      <c r="F6" s="5">
        <v>88.108000000000004</v>
      </c>
      <c r="G6" s="5">
        <f t="shared" si="2"/>
        <v>2.3590105169604381</v>
      </c>
      <c r="H6">
        <v>25</v>
      </c>
    </row>
    <row r="7" spans="1:8" ht="15" thickBot="1" x14ac:dyDescent="0.35">
      <c r="A7" s="8" t="s">
        <v>7</v>
      </c>
      <c r="B7" s="9">
        <v>5.1345999999999998</v>
      </c>
      <c r="C7" s="9">
        <v>4.3701999999999996</v>
      </c>
      <c r="D7" s="5">
        <f t="shared" si="0"/>
        <v>0.76440000000000019</v>
      </c>
      <c r="E7" s="5">
        <f t="shared" si="1"/>
        <v>764.4000000000002</v>
      </c>
      <c r="F7" s="5">
        <v>0</v>
      </c>
      <c r="G7" s="5">
        <f t="shared" si="2"/>
        <v>19.837487779588216</v>
      </c>
      <c r="H7">
        <v>25</v>
      </c>
    </row>
    <row r="8" spans="1:8" x14ac:dyDescent="0.3">
      <c r="A8" s="4">
        <v>50</v>
      </c>
      <c r="B8" s="10">
        <v>5.0377000000000001</v>
      </c>
      <c r="C8" s="11">
        <v>4.7404000000000002</v>
      </c>
      <c r="D8" s="11">
        <f t="shared" si="0"/>
        <v>0.2972999999999999</v>
      </c>
      <c r="E8" s="5">
        <f t="shared" si="1"/>
        <v>297.2999999999999</v>
      </c>
      <c r="F8" s="5">
        <v>78.584999999999994</v>
      </c>
      <c r="G8" s="5">
        <f t="shared" ref="G8:G13" si="3">(87.6*E8)/(17.2*50*7.85)</f>
        <v>3.8577218189897775</v>
      </c>
      <c r="H8">
        <v>50</v>
      </c>
    </row>
    <row r="9" spans="1:8" x14ac:dyDescent="0.3">
      <c r="A9" s="6">
        <v>100</v>
      </c>
      <c r="B9" s="12">
        <v>4.9794</v>
      </c>
      <c r="C9" s="13">
        <v>4.72</v>
      </c>
      <c r="D9" s="11">
        <f t="shared" si="0"/>
        <v>0.2594000000000003</v>
      </c>
      <c r="E9" s="5">
        <f t="shared" si="1"/>
        <v>259.40000000000032</v>
      </c>
      <c r="F9" s="5">
        <v>81.314999999999998</v>
      </c>
      <c r="G9" s="5">
        <f t="shared" si="3"/>
        <v>3.3659368982373024</v>
      </c>
      <c r="H9">
        <v>50</v>
      </c>
    </row>
    <row r="10" spans="1:8" x14ac:dyDescent="0.3">
      <c r="A10" s="6">
        <v>150</v>
      </c>
      <c r="B10" s="12">
        <v>4.8464999999999998</v>
      </c>
      <c r="C10" s="13">
        <v>4.6111000000000004</v>
      </c>
      <c r="D10" s="11">
        <f t="shared" si="0"/>
        <v>0.23539999999999939</v>
      </c>
      <c r="E10" s="5">
        <f t="shared" si="1"/>
        <v>235.39999999999938</v>
      </c>
      <c r="F10" s="5">
        <v>83.043999999999997</v>
      </c>
      <c r="G10" s="5">
        <f t="shared" si="3"/>
        <v>3.0545163679454812</v>
      </c>
      <c r="H10">
        <v>50</v>
      </c>
    </row>
    <row r="11" spans="1:8" x14ac:dyDescent="0.3">
      <c r="A11" s="6">
        <v>200</v>
      </c>
      <c r="B11" s="12">
        <v>4.7713999999999999</v>
      </c>
      <c r="C11" s="13">
        <v>4.5515999999999996</v>
      </c>
      <c r="D11" s="11">
        <f t="shared" si="0"/>
        <v>0.21980000000000022</v>
      </c>
      <c r="E11" s="5">
        <f t="shared" si="1"/>
        <v>219.80000000000021</v>
      </c>
      <c r="F11" s="5">
        <v>84.168000000000006</v>
      </c>
      <c r="G11" s="5">
        <f t="shared" si="3"/>
        <v>2.8520930232558164</v>
      </c>
      <c r="H11">
        <v>50</v>
      </c>
    </row>
    <row r="12" spans="1:8" x14ac:dyDescent="0.3">
      <c r="A12" s="6">
        <v>250</v>
      </c>
      <c r="B12" s="12">
        <v>5.2816999999999998</v>
      </c>
      <c r="C12" s="13">
        <v>5.0679999999999996</v>
      </c>
      <c r="D12" s="11">
        <f t="shared" si="0"/>
        <v>0.21370000000000022</v>
      </c>
      <c r="E12" s="5">
        <f t="shared" si="1"/>
        <v>213.70000000000022</v>
      </c>
      <c r="F12" s="5">
        <v>84.606999999999999</v>
      </c>
      <c r="G12" s="5">
        <f t="shared" si="3"/>
        <v>2.7729403051399819</v>
      </c>
      <c r="H12">
        <v>50</v>
      </c>
    </row>
    <row r="13" spans="1:8" ht="15" thickBot="1" x14ac:dyDescent="0.35">
      <c r="A13" s="8" t="s">
        <v>7</v>
      </c>
      <c r="B13" s="14">
        <v>5.3217999999999996</v>
      </c>
      <c r="C13" s="15">
        <v>3.9335</v>
      </c>
      <c r="D13" s="11">
        <f t="shared" si="0"/>
        <v>1.3882999999999996</v>
      </c>
      <c r="E13" s="5">
        <f t="shared" si="1"/>
        <v>1388.2999999999997</v>
      </c>
      <c r="F13" s="5">
        <v>0</v>
      </c>
      <c r="G13" s="5">
        <f t="shared" si="3"/>
        <v>18.014380091838241</v>
      </c>
      <c r="H13">
        <v>50</v>
      </c>
    </row>
    <row r="14" spans="1:8" x14ac:dyDescent="0.3">
      <c r="A14" s="4">
        <v>50</v>
      </c>
      <c r="B14" s="11">
        <v>5.0932000000000004</v>
      </c>
      <c r="C14" s="11">
        <v>4.6477000000000004</v>
      </c>
      <c r="D14" s="5">
        <f t="shared" si="0"/>
        <v>0.44550000000000001</v>
      </c>
      <c r="E14" s="5">
        <f t="shared" si="1"/>
        <v>445.5</v>
      </c>
      <c r="F14" s="5">
        <v>77.363</v>
      </c>
      <c r="G14" s="5">
        <f t="shared" ref="G14:G19" si="4">(87.6*E14)/(17.2*75*7.85)</f>
        <v>3.8538290623611311</v>
      </c>
      <c r="H14">
        <v>75</v>
      </c>
    </row>
    <row r="15" spans="1:8" x14ac:dyDescent="0.3">
      <c r="A15" s="6">
        <v>100</v>
      </c>
      <c r="B15" s="13">
        <v>5.0655999999999999</v>
      </c>
      <c r="C15" s="13">
        <v>4.6909999999999998</v>
      </c>
      <c r="D15" s="5">
        <f t="shared" si="0"/>
        <v>0.37460000000000004</v>
      </c>
      <c r="E15" s="5">
        <f t="shared" si="1"/>
        <v>374.6</v>
      </c>
      <c r="F15" s="5">
        <v>80.965000000000003</v>
      </c>
      <c r="G15" s="5">
        <f t="shared" si="4"/>
        <v>3.2405036290919864</v>
      </c>
      <c r="H15">
        <v>75</v>
      </c>
    </row>
    <row r="16" spans="1:8" x14ac:dyDescent="0.3">
      <c r="A16" s="6">
        <v>150</v>
      </c>
      <c r="B16" s="13">
        <v>5.3872</v>
      </c>
      <c r="C16" s="13">
        <v>5.0218999999999996</v>
      </c>
      <c r="D16" s="5">
        <f t="shared" si="0"/>
        <v>0.3653000000000004</v>
      </c>
      <c r="E16" s="5">
        <f t="shared" si="1"/>
        <v>365.30000000000041</v>
      </c>
      <c r="F16" s="5">
        <v>81.438000000000002</v>
      </c>
      <c r="G16" s="5">
        <f t="shared" si="4"/>
        <v>3.1600533254332728</v>
      </c>
      <c r="H16">
        <v>75</v>
      </c>
    </row>
    <row r="17" spans="1:8" x14ac:dyDescent="0.3">
      <c r="A17" s="6">
        <v>200</v>
      </c>
      <c r="B17" s="13">
        <v>5.2602000000000002</v>
      </c>
      <c r="C17" s="13">
        <v>4.8998999999999997</v>
      </c>
      <c r="D17" s="5">
        <f t="shared" si="0"/>
        <v>0.36030000000000051</v>
      </c>
      <c r="E17" s="5">
        <f t="shared" si="1"/>
        <v>360.30000000000052</v>
      </c>
      <c r="F17" s="5">
        <v>81.691999999999993</v>
      </c>
      <c r="G17" s="5">
        <f t="shared" si="4"/>
        <v>3.1168004740038553</v>
      </c>
      <c r="H17">
        <v>75</v>
      </c>
    </row>
    <row r="18" spans="1:8" x14ac:dyDescent="0.3">
      <c r="A18" s="6">
        <v>250</v>
      </c>
      <c r="B18" s="13">
        <v>4.9650999999999996</v>
      </c>
      <c r="C18" s="13">
        <v>4.6478999999999999</v>
      </c>
      <c r="D18" s="5">
        <f t="shared" si="0"/>
        <v>0.3171999999999997</v>
      </c>
      <c r="E18" s="5">
        <f t="shared" si="1"/>
        <v>317.1999999999997</v>
      </c>
      <c r="F18" s="5">
        <v>83.882000000000005</v>
      </c>
      <c r="G18" s="5">
        <f t="shared" si="4"/>
        <v>2.7439608946822664</v>
      </c>
      <c r="H18">
        <v>75</v>
      </c>
    </row>
    <row r="19" spans="1:8" ht="15" thickBot="1" x14ac:dyDescent="0.35">
      <c r="A19" s="8" t="s">
        <v>7</v>
      </c>
      <c r="B19" s="15">
        <v>5.0326000000000004</v>
      </c>
      <c r="C19" s="15">
        <v>3.0646</v>
      </c>
      <c r="D19" s="5">
        <f t="shared" si="0"/>
        <v>1.9680000000000004</v>
      </c>
      <c r="E19" s="5">
        <f t="shared" si="1"/>
        <v>1968.0000000000005</v>
      </c>
      <c r="F19" s="5">
        <v>0</v>
      </c>
      <c r="G19" s="5">
        <f t="shared" si="4"/>
        <v>17.024322322618872</v>
      </c>
      <c r="H19">
        <v>75</v>
      </c>
    </row>
    <row r="20" spans="1:8" x14ac:dyDescent="0.3">
      <c r="A20" s="4">
        <v>50</v>
      </c>
      <c r="B20" s="5">
        <v>4.9543999999999997</v>
      </c>
      <c r="C20" s="5">
        <v>4.3303000000000003</v>
      </c>
      <c r="D20" s="5">
        <f t="shared" si="0"/>
        <v>0.62409999999999943</v>
      </c>
      <c r="E20" s="5">
        <f t="shared" si="1"/>
        <v>624.09999999999945</v>
      </c>
      <c r="F20" s="5">
        <v>75.804000000000002</v>
      </c>
      <c r="G20" s="5">
        <f t="shared" ref="G20:G25" si="5">(87.6*E20)/(17.2*100*7.85)</f>
        <v>4.0491156865649494</v>
      </c>
      <c r="H20">
        <v>100</v>
      </c>
    </row>
    <row r="21" spans="1:8" x14ac:dyDescent="0.3">
      <c r="A21" s="6">
        <v>100</v>
      </c>
      <c r="B21" s="7">
        <v>5.0152000000000001</v>
      </c>
      <c r="C21" s="7">
        <v>4.4947999999999997</v>
      </c>
      <c r="D21" s="5">
        <f t="shared" si="0"/>
        <v>0.52040000000000042</v>
      </c>
      <c r="E21" s="5">
        <f t="shared" si="1"/>
        <v>520.40000000000043</v>
      </c>
      <c r="F21" s="5">
        <v>79.825000000000003</v>
      </c>
      <c r="G21" s="5">
        <f t="shared" si="5"/>
        <v>3.3763175825803611</v>
      </c>
      <c r="H21">
        <v>100</v>
      </c>
    </row>
    <row r="22" spans="1:8" x14ac:dyDescent="0.3">
      <c r="A22" s="6">
        <v>150</v>
      </c>
      <c r="B22" s="7">
        <v>5.0877999999999997</v>
      </c>
      <c r="C22" s="7">
        <v>4.577</v>
      </c>
      <c r="D22" s="5">
        <f t="shared" si="0"/>
        <v>0.5107999999999997</v>
      </c>
      <c r="E22" s="5">
        <f t="shared" si="1"/>
        <v>510.79999999999973</v>
      </c>
      <c r="F22" s="5">
        <v>80.197000000000003</v>
      </c>
      <c r="G22" s="5">
        <f t="shared" si="5"/>
        <v>3.3140334765219945</v>
      </c>
      <c r="H22">
        <v>100</v>
      </c>
    </row>
    <row r="23" spans="1:8" x14ac:dyDescent="0.3">
      <c r="A23" s="6">
        <v>200</v>
      </c>
      <c r="B23" s="7">
        <v>5.1489000000000003</v>
      </c>
      <c r="C23" s="7">
        <v>4.6837999999999997</v>
      </c>
      <c r="D23" s="5">
        <f t="shared" si="0"/>
        <v>0.46510000000000051</v>
      </c>
      <c r="E23" s="5">
        <f t="shared" si="1"/>
        <v>465.10000000000053</v>
      </c>
      <c r="F23" s="5">
        <v>81.968999999999994</v>
      </c>
      <c r="G23" s="5">
        <f t="shared" si="5"/>
        <v>3.0175351799733408</v>
      </c>
      <c r="H23">
        <v>100</v>
      </c>
    </row>
    <row r="24" spans="1:8" x14ac:dyDescent="0.3">
      <c r="A24" s="6">
        <v>250</v>
      </c>
      <c r="B24" s="7">
        <v>5.0975999999999999</v>
      </c>
      <c r="C24" s="7">
        <v>4.6553000000000004</v>
      </c>
      <c r="D24" s="5">
        <f t="shared" si="0"/>
        <v>0.44229999999999947</v>
      </c>
      <c r="E24" s="5">
        <f t="shared" si="1"/>
        <v>442.2999999999995</v>
      </c>
      <c r="F24" s="5">
        <v>82.852999999999994</v>
      </c>
      <c r="G24" s="5">
        <f t="shared" si="5"/>
        <v>2.8696104280847248</v>
      </c>
      <c r="H24">
        <v>100</v>
      </c>
    </row>
    <row r="25" spans="1:8" ht="15" thickBot="1" x14ac:dyDescent="0.35">
      <c r="A25" s="8" t="s">
        <v>7</v>
      </c>
      <c r="B25" s="9">
        <v>5.1113</v>
      </c>
      <c r="C25" s="9">
        <v>2.5318999999999998</v>
      </c>
      <c r="D25" s="5">
        <f t="shared" si="0"/>
        <v>2.5794000000000001</v>
      </c>
      <c r="E25" s="5">
        <f t="shared" si="1"/>
        <v>2579.4</v>
      </c>
      <c r="F25" s="5">
        <v>0</v>
      </c>
      <c r="G25" s="5">
        <f t="shared" si="5"/>
        <v>16.734960746556066</v>
      </c>
      <c r="H25">
        <v>100</v>
      </c>
    </row>
    <row r="26" spans="1:8" x14ac:dyDescent="0.3">
      <c r="A26" s="4">
        <v>50</v>
      </c>
      <c r="B26" s="5">
        <v>5.0568999999999997</v>
      </c>
      <c r="C26" s="5">
        <v>4.3003999999999998</v>
      </c>
      <c r="D26" s="5">
        <f t="shared" si="0"/>
        <v>0.75649999999999995</v>
      </c>
      <c r="E26" s="5">
        <f t="shared" si="1"/>
        <v>756.5</v>
      </c>
      <c r="F26" s="5">
        <v>74.588999999999999</v>
      </c>
      <c r="G26" s="5">
        <f t="shared" ref="G26:G31" si="6">(87.6*E26)/(17.2*125*7.85)</f>
        <v>3.9264938527625532</v>
      </c>
      <c r="H26">
        <v>125</v>
      </c>
    </row>
    <row r="27" spans="1:8" x14ac:dyDescent="0.3">
      <c r="A27" s="6">
        <v>100</v>
      </c>
      <c r="B27" s="7">
        <v>5.4233000000000002</v>
      </c>
      <c r="C27" s="7">
        <v>4.6950000000000003</v>
      </c>
      <c r="D27" s="5">
        <f t="shared" si="0"/>
        <v>0.72829999999999995</v>
      </c>
      <c r="E27" s="5">
        <f t="shared" si="1"/>
        <v>728.3</v>
      </c>
      <c r="F27" s="5">
        <v>75.536000000000001</v>
      </c>
      <c r="G27" s="5">
        <f t="shared" si="6"/>
        <v>3.7801262035254033</v>
      </c>
      <c r="H27">
        <v>125</v>
      </c>
    </row>
    <row r="28" spans="1:8" x14ac:dyDescent="0.3">
      <c r="A28" s="6">
        <v>150</v>
      </c>
      <c r="B28" s="7">
        <v>4.9015000000000004</v>
      </c>
      <c r="C28" s="7">
        <v>4.2289000000000003</v>
      </c>
      <c r="D28" s="5">
        <f t="shared" si="0"/>
        <v>0.67260000000000009</v>
      </c>
      <c r="E28" s="5">
        <f t="shared" si="1"/>
        <v>672.60000000000014</v>
      </c>
      <c r="F28" s="5">
        <v>77.406999999999996</v>
      </c>
      <c r="G28" s="5">
        <f t="shared" si="6"/>
        <v>3.4910241445711754</v>
      </c>
      <c r="H28">
        <v>125</v>
      </c>
    </row>
    <row r="29" spans="1:8" x14ac:dyDescent="0.3">
      <c r="A29" s="6">
        <v>200</v>
      </c>
      <c r="B29" s="7">
        <v>5.1912500000000001</v>
      </c>
      <c r="C29" s="7">
        <v>4.54</v>
      </c>
      <c r="D29" s="5">
        <f t="shared" si="0"/>
        <v>0.65125000000000011</v>
      </c>
      <c r="E29" s="5">
        <f t="shared" si="1"/>
        <v>651.25000000000011</v>
      </c>
      <c r="F29" s="5">
        <v>78.123999999999995</v>
      </c>
      <c r="G29" s="5">
        <f t="shared" si="6"/>
        <v>3.3802103392090066</v>
      </c>
      <c r="H29">
        <v>125</v>
      </c>
    </row>
    <row r="30" spans="1:8" x14ac:dyDescent="0.3">
      <c r="A30" s="6">
        <v>250</v>
      </c>
      <c r="B30" s="7">
        <v>5.1909999999999998</v>
      </c>
      <c r="C30" s="7">
        <v>4.59</v>
      </c>
      <c r="D30" s="5">
        <f t="shared" si="0"/>
        <v>0.60099999999999998</v>
      </c>
      <c r="E30" s="5">
        <f t="shared" si="1"/>
        <v>601</v>
      </c>
      <c r="F30" s="5">
        <v>79.811999999999998</v>
      </c>
      <c r="G30" s="5">
        <f t="shared" si="6"/>
        <v>3.1193956450896163</v>
      </c>
      <c r="H30">
        <v>125</v>
      </c>
    </row>
    <row r="31" spans="1:8" ht="15" thickBot="1" x14ac:dyDescent="0.35">
      <c r="A31" s="8" t="s">
        <v>7</v>
      </c>
      <c r="B31" s="9">
        <v>4.8879999999999999</v>
      </c>
      <c r="C31" s="9">
        <v>1.911</v>
      </c>
      <c r="D31" s="5">
        <f t="shared" si="0"/>
        <v>2.9769999999999999</v>
      </c>
      <c r="E31" s="5">
        <f t="shared" si="1"/>
        <v>2977</v>
      </c>
      <c r="F31" s="5">
        <v>0</v>
      </c>
      <c r="G31" s="5">
        <f t="shared" si="6"/>
        <v>15.451648644645237</v>
      </c>
      <c r="H31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Izubest De Great</dc:creator>
  <cp:lastModifiedBy>Izubest De Great</cp:lastModifiedBy>
  <dcterms:created xsi:type="dcterms:W3CDTF">2025-11-08T01:39:41Z</dcterms:created>
  <dcterms:modified xsi:type="dcterms:W3CDTF">2025-11-08T02:59:23Z</dcterms:modified>
</cp:coreProperties>
</file>