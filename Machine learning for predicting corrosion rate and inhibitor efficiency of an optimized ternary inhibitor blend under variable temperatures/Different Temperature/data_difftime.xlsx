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tHub\CHEMENG\Different Temperature\"/>
    </mc:Choice>
  </mc:AlternateContent>
  <xr:revisionPtr revIDLastSave="0" documentId="8_{01FBDFBD-3B54-4830-8FC3-2F085C878944}" xr6:coauthVersionLast="47" xr6:coauthVersionMax="47" xr10:uidLastSave="{00000000-0000-0000-0000-000000000000}"/>
  <bookViews>
    <workbookView xWindow="-105" yWindow="0" windowWidth="10455" windowHeight="10905" xr2:uid="{19D7D676-5CDA-46EF-9302-18BA78083E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1" i="1" l="1"/>
  <c r="D30" i="1"/>
  <c r="D29" i="1"/>
  <c r="D28" i="1"/>
  <c r="D27" i="1"/>
  <c r="D26" i="1"/>
  <c r="D25" i="1"/>
  <c r="D24" i="1"/>
  <c r="E24" i="1" s="1"/>
  <c r="G24" i="1" s="1"/>
  <c r="D23" i="1"/>
  <c r="D22" i="1"/>
  <c r="E22" i="1" s="1"/>
  <c r="G22" i="1" s="1"/>
  <c r="D21" i="1"/>
  <c r="D20" i="1"/>
  <c r="E20" i="1" s="1"/>
  <c r="G20" i="1" s="1"/>
  <c r="D19" i="1"/>
  <c r="E19" i="1" s="1"/>
  <c r="G19" i="1" s="1"/>
  <c r="D18" i="1"/>
  <c r="D17" i="1"/>
  <c r="E17" i="1" s="1"/>
  <c r="G17" i="1" s="1"/>
  <c r="D16" i="1"/>
  <c r="D15" i="1"/>
  <c r="E15" i="1" s="1"/>
  <c r="G15" i="1" s="1"/>
  <c r="D14" i="1"/>
  <c r="D13" i="1"/>
  <c r="F13" i="1" s="1"/>
  <c r="D12" i="1"/>
  <c r="E12" i="1" s="1"/>
  <c r="G12" i="1" s="1"/>
  <c r="G11" i="1"/>
  <c r="E11" i="1"/>
  <c r="D11" i="1"/>
  <c r="E10" i="1"/>
  <c r="G10" i="1" s="1"/>
  <c r="D10" i="1"/>
  <c r="D9" i="1"/>
  <c r="E9" i="1" s="1"/>
  <c r="G9" i="1" s="1"/>
  <c r="D8" i="1"/>
  <c r="E8" i="1" s="1"/>
  <c r="G8" i="1" s="1"/>
  <c r="D7" i="1"/>
  <c r="E7" i="1" s="1"/>
  <c r="G7" i="1" s="1"/>
  <c r="D6" i="1"/>
  <c r="E6" i="1" s="1"/>
  <c r="G6" i="1" s="1"/>
  <c r="D5" i="1"/>
  <c r="E5" i="1" s="1"/>
  <c r="G5" i="1" s="1"/>
  <c r="E4" i="1"/>
  <c r="G4" i="1" s="1"/>
  <c r="D4" i="1"/>
  <c r="D3" i="1"/>
  <c r="E3" i="1" s="1"/>
  <c r="G3" i="1" s="1"/>
  <c r="D2" i="1"/>
  <c r="E2" i="1" s="1"/>
  <c r="G2" i="1" s="1"/>
  <c r="E26" i="1" l="1"/>
  <c r="G26" i="1" s="1"/>
  <c r="E27" i="1"/>
  <c r="G27" i="1" s="1"/>
  <c r="E28" i="1"/>
  <c r="G28" i="1" s="1"/>
  <c r="E29" i="1"/>
  <c r="G29" i="1" s="1"/>
  <c r="E30" i="1"/>
  <c r="G30" i="1" s="1"/>
  <c r="E31" i="1"/>
  <c r="G31" i="1" s="1"/>
  <c r="E21" i="1"/>
  <c r="G21" i="1" s="1"/>
  <c r="E23" i="1"/>
  <c r="G23" i="1" s="1"/>
  <c r="E25" i="1"/>
  <c r="G25" i="1" s="1"/>
  <c r="E14" i="1"/>
  <c r="G14" i="1" s="1"/>
  <c r="E16" i="1"/>
  <c r="G16" i="1" s="1"/>
  <c r="E18" i="1"/>
  <c r="G18" i="1" s="1"/>
  <c r="E13" i="1"/>
  <c r="G13" i="1" s="1"/>
</calcChain>
</file>

<file path=xl/sharedStrings.xml><?xml version="1.0" encoding="utf-8"?>
<sst xmlns="http://schemas.openxmlformats.org/spreadsheetml/2006/main" count="43" uniqueCount="14">
  <si>
    <t>concentration (ppm)</t>
  </si>
  <si>
    <t>Initial mass (g)</t>
  </si>
  <si>
    <t>Final mass (g)</t>
  </si>
  <si>
    <t>weight loss (g)</t>
  </si>
  <si>
    <t>weight loss(mg)</t>
  </si>
  <si>
    <t>inhibitor efficiency</t>
  </si>
  <si>
    <t>Corrosion rate(mm/y)</t>
  </si>
  <si>
    <t>blank</t>
  </si>
  <si>
    <t>Temperature</t>
  </si>
  <si>
    <t>40 0C</t>
  </si>
  <si>
    <t>50 0C</t>
  </si>
  <si>
    <t>60 0C</t>
  </si>
  <si>
    <t>70 0C</t>
  </si>
  <si>
    <t>80 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</si>
</sst>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4" x14ac:knownFonts="1">
    <font>
      <sz val="11"/>
      <color theme="1"/>
      <name val="Calibri"/>
      <family val="2"/>
      <scheme val="minor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6E3BC"/>
        <bgColor indexed="64"/>
      </patternFill>
    </fill>
    <fill>
      <patternFill patternType="solid">
        <fgColor rgb="FF96B3D7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164" fontId="1" fillId="3" borderId="5" xfId="0" applyNumberFormat="1" applyFont="1" applyFill="1" applyBorder="1" applyAlignment="1">
      <alignment horizontal="center"/>
    </xf>
    <xf numFmtId="165" fontId="1" fillId="3" borderId="5" xfId="0" applyNumberFormat="1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164" fontId="1" fillId="3" borderId="7" xfId="0" applyNumberFormat="1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164" fontId="1" fillId="3" borderId="9" xfId="0" applyNumberFormat="1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2" fillId="0" borderId="0" xfId="0" applyFont="1"/>
    <xf numFmtId="165" fontId="1" fillId="3" borderId="7" xfId="0" applyNumberFormat="1" applyFont="1" applyFill="1" applyBorder="1" applyAlignment="1">
      <alignment horizontal="center"/>
    </xf>
    <xf numFmtId="165" fontId="1" fillId="3" borderId="9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BC3BF-4D5B-48B5-832B-05EEFBEDD754}">
  <dimension ref="A1:H31"/>
  <sheetViews>
    <sheetView tabSelected="1" workbookViewId="0">
      <selection activeCell="H31" sqref="A1:H31"/>
    </sheetView>
  </sheetViews>
  <sheetFormatPr defaultRowHeight="15" x14ac:dyDescent="0.25"/>
  <cols>
    <col min="1" max="1" width="18.140625" bestFit="1" customWidth="1"/>
    <col min="2" max="2" width="13.5703125" bestFit="1" customWidth="1"/>
    <col min="3" max="3" width="12.85546875" bestFit="1" customWidth="1"/>
    <col min="4" max="4" width="13.42578125" bestFit="1" customWidth="1"/>
    <col min="5" max="5" width="14.42578125" bestFit="1" customWidth="1"/>
    <col min="6" max="6" width="16.5703125" bestFit="1" customWidth="1"/>
    <col min="7" max="7" width="19.42578125" bestFit="1" customWidth="1"/>
    <col min="8" max="8" width="11.85546875" bestFit="1" customWidth="1"/>
  </cols>
  <sheetData>
    <row r="1" spans="1:8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11" t="s">
        <v>8</v>
      </c>
    </row>
    <row r="2" spans="1:8" x14ac:dyDescent="0.25">
      <c r="A2" s="4">
        <v>50</v>
      </c>
      <c r="B2" s="5">
        <v>4.8372999999999999</v>
      </c>
      <c r="C2" s="5">
        <v>4.6666999999999996</v>
      </c>
      <c r="D2" s="5">
        <f t="shared" ref="D2:D31" si="0">B2-C2</f>
        <v>0.17060000000000031</v>
      </c>
      <c r="E2" s="6">
        <f t="shared" ref="E2:E31" si="1">D2*1000</f>
        <v>170.60000000000031</v>
      </c>
      <c r="F2" s="5">
        <v>49.749600000000001</v>
      </c>
      <c r="G2" s="6">
        <f t="shared" ref="G2:G31" si="2">(87.6*E2)/(17.2*5*7.85)</f>
        <v>22.136809361576102</v>
      </c>
      <c r="H2" s="12" t="s">
        <v>9</v>
      </c>
    </row>
    <row r="3" spans="1:8" x14ac:dyDescent="0.25">
      <c r="A3" s="7">
        <v>100</v>
      </c>
      <c r="B3" s="8">
        <v>4.9028999999999998</v>
      </c>
      <c r="C3" s="8">
        <v>4.7843</v>
      </c>
      <c r="D3" s="5">
        <f t="shared" si="0"/>
        <v>0.11859999999999982</v>
      </c>
      <c r="E3" s="6">
        <f t="shared" si="1"/>
        <v>118.59999999999982</v>
      </c>
      <c r="F3" s="5">
        <v>65.066299999999998</v>
      </c>
      <c r="G3" s="6">
        <f t="shared" si="2"/>
        <v>15.389364538586852</v>
      </c>
      <c r="H3" s="12" t="s">
        <v>9</v>
      </c>
    </row>
    <row r="4" spans="1:8" x14ac:dyDescent="0.25">
      <c r="A4" s="7">
        <v>150</v>
      </c>
      <c r="B4" s="8">
        <v>4.6002999999999998</v>
      </c>
      <c r="C4" s="8">
        <v>4.5003000000000002</v>
      </c>
      <c r="D4" s="5">
        <f t="shared" si="0"/>
        <v>9.9999999999999645E-2</v>
      </c>
      <c r="E4" s="6">
        <f t="shared" si="1"/>
        <v>99.999999999999645</v>
      </c>
      <c r="F4" s="5">
        <v>70.544899999999998</v>
      </c>
      <c r="G4" s="6">
        <f t="shared" si="2"/>
        <v>12.975855428825312</v>
      </c>
      <c r="H4" s="12" t="s">
        <v>9</v>
      </c>
    </row>
    <row r="5" spans="1:8" x14ac:dyDescent="0.25">
      <c r="A5" s="7">
        <v>200</v>
      </c>
      <c r="B5" s="8">
        <v>4.8209</v>
      </c>
      <c r="C5" s="8">
        <v>4.7369000000000003</v>
      </c>
      <c r="D5" s="5">
        <f t="shared" si="0"/>
        <v>8.3999999999999631E-2</v>
      </c>
      <c r="E5" s="6">
        <f t="shared" si="1"/>
        <v>83.999999999999631</v>
      </c>
      <c r="F5" s="5">
        <v>75.2577</v>
      </c>
      <c r="G5" s="6">
        <f t="shared" si="2"/>
        <v>10.899718560213252</v>
      </c>
      <c r="H5" s="12" t="s">
        <v>9</v>
      </c>
    </row>
    <row r="6" spans="1:8" x14ac:dyDescent="0.25">
      <c r="A6" s="7">
        <v>250</v>
      </c>
      <c r="B6" s="8">
        <v>5.2778999999999998</v>
      </c>
      <c r="C6" s="8">
        <v>5.2</v>
      </c>
      <c r="D6" s="5">
        <f t="shared" si="0"/>
        <v>7.7899999999999636E-2</v>
      </c>
      <c r="E6" s="6">
        <f t="shared" si="1"/>
        <v>77.899999999999636</v>
      </c>
      <c r="F6" s="5">
        <v>77.054500000000004</v>
      </c>
      <c r="G6" s="6">
        <f t="shared" si="2"/>
        <v>10.108191379054908</v>
      </c>
      <c r="H6" s="12" t="s">
        <v>9</v>
      </c>
    </row>
    <row r="7" spans="1:8" ht="15.75" thickBot="1" x14ac:dyDescent="0.3">
      <c r="A7" s="9" t="s">
        <v>7</v>
      </c>
      <c r="B7" s="10">
        <v>4.7733999999999996</v>
      </c>
      <c r="C7" s="10">
        <v>4.4339000000000004</v>
      </c>
      <c r="D7" s="5">
        <f t="shared" si="0"/>
        <v>0.33949999999999925</v>
      </c>
      <c r="E7" s="6">
        <f t="shared" si="1"/>
        <v>339.49999999999926</v>
      </c>
      <c r="F7" s="6"/>
      <c r="G7" s="6">
        <f t="shared" si="2"/>
        <v>44.053029180861991</v>
      </c>
      <c r="H7" s="12" t="s">
        <v>9</v>
      </c>
    </row>
    <row r="8" spans="1:8" x14ac:dyDescent="0.25">
      <c r="A8" s="4">
        <v>50</v>
      </c>
      <c r="B8" s="5">
        <v>4.9786999999999999</v>
      </c>
      <c r="C8" s="5">
        <v>4.6380999999999997</v>
      </c>
      <c r="D8" s="5">
        <f t="shared" si="0"/>
        <v>0.34060000000000024</v>
      </c>
      <c r="E8" s="5">
        <f t="shared" si="1"/>
        <v>340.60000000000025</v>
      </c>
      <c r="F8" s="6">
        <v>29.960999999999999</v>
      </c>
      <c r="G8" s="6">
        <f t="shared" si="2"/>
        <v>44.195763590579197</v>
      </c>
      <c r="H8" s="12" t="s">
        <v>10</v>
      </c>
    </row>
    <row r="9" spans="1:8" x14ac:dyDescent="0.25">
      <c r="A9" s="7">
        <v>100</v>
      </c>
      <c r="B9" s="8">
        <v>4.9625000000000004</v>
      </c>
      <c r="C9" s="8">
        <v>4.6974</v>
      </c>
      <c r="D9" s="5">
        <f t="shared" si="0"/>
        <v>0.26510000000000034</v>
      </c>
      <c r="E9" s="5">
        <f t="shared" si="1"/>
        <v>265.10000000000036</v>
      </c>
      <c r="F9" s="6">
        <v>45.485999999999997</v>
      </c>
      <c r="G9" s="6">
        <f t="shared" si="2"/>
        <v>34.398992741816073</v>
      </c>
      <c r="H9" s="12" t="s">
        <v>10</v>
      </c>
    </row>
    <row r="10" spans="1:8" x14ac:dyDescent="0.25">
      <c r="A10" s="7">
        <v>150</v>
      </c>
      <c r="B10" s="8">
        <v>5.1017999999999999</v>
      </c>
      <c r="C10" s="8">
        <v>4.9055</v>
      </c>
      <c r="D10" s="5">
        <f t="shared" si="0"/>
        <v>0.19629999999999992</v>
      </c>
      <c r="E10" s="5">
        <f t="shared" si="1"/>
        <v>196.29999999999993</v>
      </c>
      <c r="F10" s="6">
        <v>59.634</v>
      </c>
      <c r="G10" s="6">
        <f t="shared" si="2"/>
        <v>25.471604206784171</v>
      </c>
      <c r="H10" s="12" t="s">
        <v>10</v>
      </c>
    </row>
    <row r="11" spans="1:8" x14ac:dyDescent="0.25">
      <c r="A11" s="7">
        <v>200</v>
      </c>
      <c r="B11" s="8">
        <v>5.0701000000000001</v>
      </c>
      <c r="C11" s="8">
        <v>4.8890000000000002</v>
      </c>
      <c r="D11" s="5">
        <f t="shared" si="0"/>
        <v>0.18109999999999982</v>
      </c>
      <c r="E11" s="5">
        <f t="shared" si="1"/>
        <v>181.09999999999982</v>
      </c>
      <c r="F11" s="6">
        <v>62.76</v>
      </c>
      <c r="G11" s="6">
        <f t="shared" si="2"/>
        <v>23.499274181602701</v>
      </c>
      <c r="H11" s="12" t="s">
        <v>10</v>
      </c>
    </row>
    <row r="12" spans="1:8" x14ac:dyDescent="0.25">
      <c r="A12" s="7">
        <v>250</v>
      </c>
      <c r="B12" s="8">
        <v>4.8875000000000002</v>
      </c>
      <c r="C12" s="8">
        <v>4.7453000000000003</v>
      </c>
      <c r="D12" s="5">
        <f t="shared" si="0"/>
        <v>0.14219999999999988</v>
      </c>
      <c r="E12" s="5">
        <f t="shared" si="1"/>
        <v>142.19999999999987</v>
      </c>
      <c r="F12" s="6">
        <v>70.759</v>
      </c>
      <c r="G12" s="6">
        <f t="shared" si="2"/>
        <v>18.451666419789643</v>
      </c>
      <c r="H12" s="12" t="s">
        <v>10</v>
      </c>
    </row>
    <row r="13" spans="1:8" ht="15.75" thickBot="1" x14ac:dyDescent="0.3">
      <c r="A13" s="9" t="s">
        <v>7</v>
      </c>
      <c r="B13" s="10">
        <v>4.6635999999999997</v>
      </c>
      <c r="C13" s="10">
        <v>4.1772999999999998</v>
      </c>
      <c r="D13" s="5">
        <f t="shared" si="0"/>
        <v>0.48629999999999995</v>
      </c>
      <c r="E13" s="5">
        <f t="shared" si="1"/>
        <v>486.29999999999995</v>
      </c>
      <c r="F13" s="6">
        <f>((D13-D13)/D13)*100</f>
        <v>0</v>
      </c>
      <c r="G13" s="6">
        <f t="shared" si="2"/>
        <v>63.101584950377706</v>
      </c>
      <c r="H13" s="12" t="s">
        <v>10</v>
      </c>
    </row>
    <row r="14" spans="1:8" x14ac:dyDescent="0.25">
      <c r="A14" s="4">
        <v>50</v>
      </c>
      <c r="B14" s="6">
        <v>4.6029999999999998</v>
      </c>
      <c r="C14" s="6">
        <v>3.9687999999999999</v>
      </c>
      <c r="D14" s="6">
        <f t="shared" si="0"/>
        <v>0.63419999999999987</v>
      </c>
      <c r="E14" s="6">
        <f t="shared" si="1"/>
        <v>634.19999999999982</v>
      </c>
      <c r="F14" s="6">
        <v>25.738</v>
      </c>
      <c r="G14" s="6">
        <f t="shared" si="2"/>
        <v>82.292875129610408</v>
      </c>
      <c r="H14" s="12" t="s">
        <v>11</v>
      </c>
    </row>
    <row r="15" spans="1:8" x14ac:dyDescent="0.25">
      <c r="A15" s="7">
        <v>100</v>
      </c>
      <c r="B15" s="13">
        <v>5.2013999999999996</v>
      </c>
      <c r="C15" s="13">
        <v>4.7130000000000001</v>
      </c>
      <c r="D15" s="6">
        <f t="shared" si="0"/>
        <v>0.4883999999999995</v>
      </c>
      <c r="E15" s="6">
        <f t="shared" si="1"/>
        <v>488.39999999999952</v>
      </c>
      <c r="F15" s="6">
        <v>42.81</v>
      </c>
      <c r="G15" s="6">
        <f t="shared" si="2"/>
        <v>63.37407791438298</v>
      </c>
      <c r="H15" s="12" t="s">
        <v>11</v>
      </c>
    </row>
    <row r="16" spans="1:8" x14ac:dyDescent="0.25">
      <c r="A16" s="7">
        <v>150</v>
      </c>
      <c r="B16" s="13">
        <v>4.5635000000000003</v>
      </c>
      <c r="C16" s="13">
        <v>4.1816000000000004</v>
      </c>
      <c r="D16" s="6">
        <f t="shared" si="0"/>
        <v>0.38189999999999991</v>
      </c>
      <c r="E16" s="6">
        <f t="shared" si="1"/>
        <v>381.89999999999992</v>
      </c>
      <c r="F16" s="6">
        <v>55.280999999999999</v>
      </c>
      <c r="G16" s="6">
        <f t="shared" si="2"/>
        <v>49.554791882684029</v>
      </c>
      <c r="H16" s="12" t="s">
        <v>11</v>
      </c>
    </row>
    <row r="17" spans="1:8" x14ac:dyDescent="0.25">
      <c r="A17" s="7">
        <v>200</v>
      </c>
      <c r="B17" s="13">
        <v>5.2460000000000004</v>
      </c>
      <c r="C17" s="13">
        <v>4.8756000000000004</v>
      </c>
      <c r="D17" s="6">
        <f t="shared" si="0"/>
        <v>0.37040000000000006</v>
      </c>
      <c r="E17" s="6">
        <f t="shared" si="1"/>
        <v>370.40000000000009</v>
      </c>
      <c r="F17" s="6">
        <v>56.628</v>
      </c>
      <c r="G17" s="6">
        <f t="shared" si="2"/>
        <v>48.062568508369132</v>
      </c>
      <c r="H17" s="12" t="s">
        <v>11</v>
      </c>
    </row>
    <row r="18" spans="1:8" x14ac:dyDescent="0.25">
      <c r="A18" s="7">
        <v>250</v>
      </c>
      <c r="B18" s="13">
        <v>4.7804000000000002</v>
      </c>
      <c r="C18" s="13">
        <v>4.4870000000000001</v>
      </c>
      <c r="D18" s="6">
        <f t="shared" si="0"/>
        <v>0.29340000000000011</v>
      </c>
      <c r="E18" s="6">
        <f t="shared" si="1"/>
        <v>293.40000000000009</v>
      </c>
      <c r="F18" s="6">
        <v>65.644000000000005</v>
      </c>
      <c r="G18" s="6">
        <f t="shared" si="2"/>
        <v>38.071159828173613</v>
      </c>
      <c r="H18" s="12" t="s">
        <v>11</v>
      </c>
    </row>
    <row r="19" spans="1:8" ht="15.75" thickBot="1" x14ac:dyDescent="0.3">
      <c r="A19" s="9" t="s">
        <v>7</v>
      </c>
      <c r="B19" s="14">
        <v>4.4340000000000002</v>
      </c>
      <c r="C19" s="14">
        <v>3.58</v>
      </c>
      <c r="D19" s="6">
        <f t="shared" si="0"/>
        <v>0.85400000000000009</v>
      </c>
      <c r="E19" s="6">
        <f t="shared" si="1"/>
        <v>854.00000000000011</v>
      </c>
      <c r="F19" s="6">
        <v>0</v>
      </c>
      <c r="G19" s="6">
        <f t="shared" si="2"/>
        <v>110.81380536216858</v>
      </c>
      <c r="H19" s="12" t="s">
        <v>11</v>
      </c>
    </row>
    <row r="20" spans="1:8" x14ac:dyDescent="0.25">
      <c r="A20" s="4">
        <v>50</v>
      </c>
      <c r="B20" s="6">
        <v>5.1506999999999996</v>
      </c>
      <c r="C20" s="6">
        <v>3.7442000000000002</v>
      </c>
      <c r="D20" s="6">
        <f t="shared" si="0"/>
        <v>1.4064999999999994</v>
      </c>
      <c r="E20" s="6">
        <f t="shared" si="1"/>
        <v>1406.4999999999993</v>
      </c>
      <c r="F20" s="6">
        <v>19.789000000000001</v>
      </c>
      <c r="G20" s="6">
        <f t="shared" si="2"/>
        <v>182.50540660642858</v>
      </c>
      <c r="H20" s="12" t="s">
        <v>12</v>
      </c>
    </row>
    <row r="21" spans="1:8" x14ac:dyDescent="0.25">
      <c r="A21" s="7">
        <v>100</v>
      </c>
      <c r="B21" s="13">
        <v>5.0865999999999998</v>
      </c>
      <c r="C21" s="13">
        <v>4.05</v>
      </c>
      <c r="D21" s="6">
        <f t="shared" si="0"/>
        <v>1.0366</v>
      </c>
      <c r="E21" s="6">
        <f t="shared" si="1"/>
        <v>1036.5999999999999</v>
      </c>
      <c r="F21" s="6">
        <v>40.884</v>
      </c>
      <c r="G21" s="6">
        <f t="shared" si="2"/>
        <v>134.50771737520364</v>
      </c>
      <c r="H21" s="12" t="s">
        <v>12</v>
      </c>
    </row>
    <row r="22" spans="1:8" x14ac:dyDescent="0.25">
      <c r="A22" s="7">
        <v>150</v>
      </c>
      <c r="B22" s="13">
        <v>4.7633000000000001</v>
      </c>
      <c r="C22" s="13">
        <v>3.8950999999999998</v>
      </c>
      <c r="D22" s="6">
        <f t="shared" si="0"/>
        <v>0.8682000000000003</v>
      </c>
      <c r="E22" s="6">
        <f t="shared" si="1"/>
        <v>868.20000000000027</v>
      </c>
      <c r="F22" s="6">
        <v>50.488</v>
      </c>
      <c r="G22" s="6">
        <f t="shared" si="2"/>
        <v>112.6563768330618</v>
      </c>
      <c r="H22" s="12" t="s">
        <v>12</v>
      </c>
    </row>
    <row r="23" spans="1:8" x14ac:dyDescent="0.25">
      <c r="A23" s="7">
        <v>200</v>
      </c>
      <c r="B23" s="13">
        <v>5.0808</v>
      </c>
      <c r="C23" s="13">
        <v>4.3215000000000003</v>
      </c>
      <c r="D23" s="6">
        <f t="shared" si="0"/>
        <v>0.75929999999999964</v>
      </c>
      <c r="E23" s="6">
        <f t="shared" si="1"/>
        <v>759.29999999999961</v>
      </c>
      <c r="F23" s="6">
        <v>56.698</v>
      </c>
      <c r="G23" s="6">
        <f t="shared" si="2"/>
        <v>98.525670271070894</v>
      </c>
      <c r="H23" s="12" t="s">
        <v>12</v>
      </c>
    </row>
    <row r="24" spans="1:8" x14ac:dyDescent="0.25">
      <c r="A24" s="7">
        <v>250</v>
      </c>
      <c r="B24" s="13">
        <v>4.9619999999999997</v>
      </c>
      <c r="C24" s="13">
        <v>4.2516999999999996</v>
      </c>
      <c r="D24" s="6">
        <f t="shared" si="0"/>
        <v>0.71030000000000015</v>
      </c>
      <c r="E24" s="6">
        <f t="shared" si="1"/>
        <v>710.30000000000018</v>
      </c>
      <c r="F24" s="6">
        <v>59.491999999999997</v>
      </c>
      <c r="G24" s="6">
        <f t="shared" si="2"/>
        <v>92.167501110946546</v>
      </c>
      <c r="H24" s="12" t="s">
        <v>12</v>
      </c>
    </row>
    <row r="25" spans="1:8" ht="15.75" thickBot="1" x14ac:dyDescent="0.3">
      <c r="A25" s="9" t="s">
        <v>7</v>
      </c>
      <c r="B25" s="14">
        <v>4.5441000000000003</v>
      </c>
      <c r="C25" s="14">
        <v>2.7906</v>
      </c>
      <c r="D25" s="6">
        <f t="shared" si="0"/>
        <v>1.7535000000000003</v>
      </c>
      <c r="E25" s="6">
        <f t="shared" si="1"/>
        <v>1753.5000000000002</v>
      </c>
      <c r="F25" s="6">
        <v>0</v>
      </c>
      <c r="G25" s="6">
        <f t="shared" si="2"/>
        <v>227.53162494445269</v>
      </c>
      <c r="H25" s="12" t="s">
        <v>12</v>
      </c>
    </row>
    <row r="26" spans="1:8" x14ac:dyDescent="0.25">
      <c r="A26" s="4">
        <v>50</v>
      </c>
      <c r="B26" s="6">
        <v>4.5068000000000001</v>
      </c>
      <c r="C26" s="6">
        <v>2.7448000000000001</v>
      </c>
      <c r="D26" s="6">
        <f t="shared" si="0"/>
        <v>1.762</v>
      </c>
      <c r="E26" s="6">
        <f t="shared" si="1"/>
        <v>1762</v>
      </c>
      <c r="F26" s="6">
        <v>1.327</v>
      </c>
      <c r="G26" s="6">
        <f t="shared" si="2"/>
        <v>228.63457265590279</v>
      </c>
      <c r="H26" s="12" t="s">
        <v>13</v>
      </c>
    </row>
    <row r="27" spans="1:8" x14ac:dyDescent="0.25">
      <c r="A27" s="7">
        <v>100</v>
      </c>
      <c r="B27" s="13">
        <v>4.7150999999999996</v>
      </c>
      <c r="C27" s="13">
        <v>2.9626000000000001</v>
      </c>
      <c r="D27" s="6">
        <f t="shared" si="0"/>
        <v>1.7524999999999995</v>
      </c>
      <c r="E27" s="6">
        <f t="shared" si="1"/>
        <v>1752.4999999999995</v>
      </c>
      <c r="F27" s="6">
        <v>1.859</v>
      </c>
      <c r="G27" s="6">
        <f t="shared" si="2"/>
        <v>227.40186639016432</v>
      </c>
      <c r="H27" s="12" t="s">
        <v>13</v>
      </c>
    </row>
    <row r="28" spans="1:8" x14ac:dyDescent="0.25">
      <c r="A28" s="7">
        <v>150</v>
      </c>
      <c r="B28" s="13">
        <v>4.9720000000000004</v>
      </c>
      <c r="C28" s="13">
        <v>3.2296999999999998</v>
      </c>
      <c r="D28" s="6">
        <f t="shared" si="0"/>
        <v>1.7423000000000006</v>
      </c>
      <c r="E28" s="6">
        <f t="shared" si="1"/>
        <v>1742.3000000000006</v>
      </c>
      <c r="F28" s="6">
        <v>2.4300000000000002</v>
      </c>
      <c r="G28" s="6">
        <f t="shared" si="2"/>
        <v>226.07832913642429</v>
      </c>
      <c r="H28" s="12" t="s">
        <v>13</v>
      </c>
    </row>
    <row r="29" spans="1:8" x14ac:dyDescent="0.25">
      <c r="A29" s="7">
        <v>200</v>
      </c>
      <c r="B29" s="13">
        <v>5.1615000000000002</v>
      </c>
      <c r="C29" s="13">
        <v>3.4386999999999999</v>
      </c>
      <c r="D29" s="6">
        <f t="shared" si="0"/>
        <v>1.7228000000000003</v>
      </c>
      <c r="E29" s="6">
        <f t="shared" si="1"/>
        <v>1722.8000000000004</v>
      </c>
      <c r="F29" s="6">
        <v>3.5219999999999998</v>
      </c>
      <c r="G29" s="6">
        <f t="shared" si="2"/>
        <v>223.54803732780331</v>
      </c>
      <c r="H29" s="12" t="s">
        <v>13</v>
      </c>
    </row>
    <row r="30" spans="1:8" x14ac:dyDescent="0.25">
      <c r="A30" s="7">
        <v>250</v>
      </c>
      <c r="B30" s="13">
        <v>4.8566000000000003</v>
      </c>
      <c r="C30" s="13">
        <v>3.1600999999999999</v>
      </c>
      <c r="D30" s="6">
        <f t="shared" si="0"/>
        <v>1.6965000000000003</v>
      </c>
      <c r="E30" s="6">
        <f t="shared" si="1"/>
        <v>1696.5000000000005</v>
      </c>
      <c r="F30" s="6">
        <v>4.9950000000000001</v>
      </c>
      <c r="G30" s="6">
        <f t="shared" si="2"/>
        <v>220.13538735002226</v>
      </c>
      <c r="H30" s="12" t="s">
        <v>13</v>
      </c>
    </row>
    <row r="31" spans="1:8" ht="15.75" thickBot="1" x14ac:dyDescent="0.3">
      <c r="A31" s="9" t="s">
        <v>7</v>
      </c>
      <c r="B31" s="14">
        <v>5.2895000000000003</v>
      </c>
      <c r="C31" s="14">
        <v>3.5038</v>
      </c>
      <c r="D31" s="6">
        <f t="shared" si="0"/>
        <v>1.7857000000000003</v>
      </c>
      <c r="E31" s="6">
        <f t="shared" si="1"/>
        <v>1785.7000000000003</v>
      </c>
      <c r="F31" s="6">
        <v>0</v>
      </c>
      <c r="G31" s="6">
        <f t="shared" si="2"/>
        <v>231.70985039253443</v>
      </c>
      <c r="H31" s="12" t="s">
        <v>13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Evidence Umukoro</dc:creator>
  <cp:lastModifiedBy>Evidence Umukoro</cp:lastModifiedBy>
  <dcterms:created xsi:type="dcterms:W3CDTF">2025-11-09T01:39:27Z</dcterms:created>
  <dcterms:modified xsi:type="dcterms:W3CDTF">2025-11-09T02:07:38Z</dcterms:modified>
</cp:coreProperties>
</file>