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eda689e81be10/Documents/"/>
    </mc:Choice>
  </mc:AlternateContent>
  <xr:revisionPtr revIDLastSave="0" documentId="8_{D8182A40-FC6F-4586-955F-20E0D65D6F40}" xr6:coauthVersionLast="47" xr6:coauthVersionMax="47" xr10:uidLastSave="{00000000-0000-0000-0000-000000000000}"/>
  <bookViews>
    <workbookView xWindow="-110" yWindow="-110" windowWidth="19420" windowHeight="10420" activeTab="1" xr2:uid="{40A92BB7-00A7-4476-B637-FFD94E879C4A}"/>
  </bookViews>
  <sheets>
    <sheet name="TIME" sheetId="1" r:id="rId1"/>
    <sheet name="Room 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2" l="1"/>
  <c r="G52" i="2"/>
  <c r="G51" i="2"/>
  <c r="G50" i="2"/>
  <c r="G49" i="2"/>
  <c r="G48" i="2"/>
  <c r="F53" i="2"/>
  <c r="F52" i="2"/>
  <c r="F51" i="2"/>
  <c r="F50" i="2"/>
  <c r="F49" i="2"/>
  <c r="F48" i="2"/>
  <c r="E53" i="2"/>
  <c r="E52" i="2"/>
  <c r="E51" i="2"/>
  <c r="E50" i="2"/>
  <c r="E49" i="2"/>
  <c r="E48" i="2"/>
  <c r="G42" i="2"/>
  <c r="G41" i="2"/>
  <c r="G40" i="2"/>
  <c r="G39" i="2"/>
  <c r="G38" i="2"/>
  <c r="G37" i="2"/>
  <c r="F41" i="2"/>
  <c r="F40" i="2"/>
  <c r="F39" i="2"/>
  <c r="F38" i="2"/>
  <c r="F37" i="2"/>
  <c r="E42" i="2"/>
  <c r="E41" i="2"/>
  <c r="E40" i="2"/>
  <c r="E39" i="2"/>
  <c r="E38" i="2"/>
  <c r="E37" i="2"/>
  <c r="G31" i="2"/>
  <c r="G30" i="2"/>
  <c r="G29" i="2"/>
  <c r="G28" i="2"/>
  <c r="G27" i="2"/>
  <c r="G26" i="2"/>
  <c r="F31" i="2"/>
  <c r="F30" i="2"/>
  <c r="F29" i="2"/>
  <c r="F28" i="2"/>
  <c r="F27" i="2"/>
  <c r="F26" i="2"/>
  <c r="E31" i="2"/>
  <c r="E30" i="2"/>
  <c r="E29" i="2"/>
  <c r="E28" i="2"/>
  <c r="E27" i="2"/>
  <c r="E26" i="2"/>
  <c r="D53" i="2"/>
  <c r="D52" i="2"/>
  <c r="D51" i="2"/>
  <c r="D50" i="2"/>
  <c r="D49" i="2"/>
  <c r="D48" i="2"/>
  <c r="D42" i="2"/>
  <c r="D41" i="2"/>
  <c r="D40" i="2"/>
  <c r="D39" i="2"/>
  <c r="D38" i="2"/>
  <c r="D37" i="2"/>
  <c r="D31" i="2"/>
  <c r="D30" i="2"/>
  <c r="D29" i="2"/>
  <c r="D28" i="2"/>
  <c r="D27" i="2"/>
  <c r="D26" i="2"/>
  <c r="G20" i="2"/>
  <c r="G19" i="2"/>
  <c r="G18" i="2"/>
  <c r="G17" i="2"/>
  <c r="G16" i="2"/>
  <c r="G15" i="2"/>
  <c r="F20" i="2"/>
  <c r="F19" i="2"/>
  <c r="F18" i="2"/>
  <c r="F17" i="2"/>
  <c r="F16" i="2"/>
  <c r="F15" i="2"/>
  <c r="E20" i="2"/>
  <c r="E19" i="2"/>
  <c r="E18" i="2"/>
  <c r="E17" i="2"/>
  <c r="E16" i="2"/>
  <c r="E15" i="2"/>
  <c r="G9" i="2"/>
  <c r="G8" i="2"/>
  <c r="G7" i="2"/>
  <c r="G6" i="2"/>
  <c r="G5" i="2"/>
  <c r="G4" i="2"/>
  <c r="F9" i="2"/>
  <c r="F8" i="2"/>
  <c r="F7" i="2"/>
  <c r="F6" i="2"/>
  <c r="F5" i="2"/>
  <c r="F4" i="2"/>
  <c r="D20" i="2"/>
  <c r="D19" i="2"/>
  <c r="D18" i="2"/>
  <c r="D17" i="2"/>
  <c r="D16" i="2"/>
  <c r="D15" i="2"/>
  <c r="E9" i="2"/>
  <c r="E8" i="2"/>
  <c r="E7" i="2"/>
  <c r="E6" i="2"/>
  <c r="E5" i="2"/>
  <c r="E4" i="2"/>
  <c r="D9" i="2"/>
  <c r="D8" i="2"/>
  <c r="D7" i="2"/>
  <c r="D6" i="2"/>
  <c r="D5" i="2"/>
  <c r="D4" i="2"/>
  <c r="H56" i="1"/>
  <c r="H55" i="1"/>
  <c r="H54" i="1"/>
  <c r="H53" i="1"/>
  <c r="H52" i="1"/>
  <c r="H51" i="1"/>
  <c r="G56" i="1"/>
  <c r="G55" i="1"/>
  <c r="G54" i="1"/>
  <c r="G53" i="1"/>
  <c r="G52" i="1"/>
  <c r="G51" i="1"/>
  <c r="F56" i="1"/>
  <c r="F55" i="1"/>
  <c r="F54" i="1"/>
  <c r="F53" i="1"/>
  <c r="F52" i="1"/>
  <c r="F51" i="1"/>
  <c r="E56" i="1"/>
  <c r="E55" i="1"/>
  <c r="E54" i="1"/>
  <c r="E53" i="1"/>
  <c r="E52" i="1"/>
  <c r="E51" i="1"/>
  <c r="H47" i="1"/>
  <c r="H46" i="1"/>
  <c r="H45" i="1"/>
  <c r="H44" i="1"/>
  <c r="H43" i="1"/>
  <c r="H42" i="1"/>
  <c r="G47" i="1"/>
  <c r="G46" i="1"/>
  <c r="G45" i="1"/>
  <c r="G44" i="1"/>
  <c r="G43" i="1"/>
  <c r="G42" i="1"/>
  <c r="F47" i="1"/>
  <c r="F46" i="1"/>
  <c r="F45" i="1"/>
  <c r="F44" i="1"/>
  <c r="F43" i="1"/>
  <c r="F42" i="1"/>
  <c r="E47" i="1"/>
  <c r="E46" i="1"/>
  <c r="E45" i="1"/>
  <c r="E44" i="1"/>
  <c r="E43" i="1"/>
  <c r="E42" i="1"/>
  <c r="H38" i="1"/>
  <c r="H37" i="1"/>
  <c r="H36" i="1"/>
  <c r="H35" i="1"/>
  <c r="H34" i="1"/>
  <c r="H33" i="1"/>
  <c r="G38" i="1"/>
  <c r="G37" i="1"/>
  <c r="G36" i="1"/>
  <c r="G35" i="1"/>
  <c r="G34" i="1"/>
  <c r="G33" i="1"/>
  <c r="F38" i="1"/>
  <c r="F37" i="1"/>
  <c r="F36" i="1"/>
  <c r="F35" i="1"/>
  <c r="F34" i="1"/>
  <c r="F33" i="1"/>
  <c r="E38" i="1"/>
  <c r="E37" i="1"/>
  <c r="E36" i="1"/>
  <c r="E35" i="1"/>
  <c r="E34" i="1"/>
  <c r="E33" i="1"/>
  <c r="H28" i="1"/>
  <c r="H29" i="1"/>
  <c r="H27" i="1"/>
  <c r="H26" i="1"/>
  <c r="H25" i="1"/>
  <c r="H24" i="1"/>
  <c r="F29" i="1"/>
  <c r="F28" i="1"/>
  <c r="F27" i="1"/>
  <c r="F26" i="1"/>
  <c r="F25" i="1"/>
  <c r="F24" i="1"/>
  <c r="G29" i="1"/>
  <c r="H20" i="1"/>
  <c r="H19" i="1"/>
  <c r="H18" i="1"/>
  <c r="H17" i="1"/>
  <c r="H16" i="1"/>
  <c r="H15" i="1"/>
  <c r="F20" i="1"/>
  <c r="F19" i="1"/>
  <c r="F18" i="1"/>
  <c r="F17" i="1"/>
  <c r="F16" i="1"/>
  <c r="F15" i="1"/>
  <c r="E29" i="1"/>
  <c r="E28" i="1"/>
  <c r="E27" i="1"/>
  <c r="E26" i="1"/>
  <c r="E25" i="1"/>
  <c r="E24" i="1"/>
  <c r="E20" i="1"/>
  <c r="E19" i="1"/>
  <c r="E18" i="1"/>
  <c r="E17" i="1"/>
  <c r="E16" i="1"/>
  <c r="E15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<sst xmlns="http://schemas.openxmlformats.org/spreadsheetml/2006/main" count="93" uniqueCount="21">
  <si>
    <t xml:space="preserve">temp </t>
  </si>
  <si>
    <t>temp (K)</t>
  </si>
  <si>
    <t>concentration (ppm)</t>
  </si>
  <si>
    <t>blank</t>
  </si>
  <si>
    <t>Initial mass (g)</t>
  </si>
  <si>
    <t>Final mass (g)</t>
  </si>
  <si>
    <t>weight loss (g)</t>
  </si>
  <si>
    <t>inhibitor efficiency</t>
  </si>
  <si>
    <t>Corrosion rate(mm/y)</t>
  </si>
  <si>
    <t>40 0C</t>
  </si>
  <si>
    <t>50 0C</t>
  </si>
  <si>
    <t>weight loss(mg)</t>
  </si>
  <si>
    <t>60 0C</t>
  </si>
  <si>
    <t>70 0C</t>
  </si>
  <si>
    <t>80 0C</t>
  </si>
  <si>
    <t>Time (Hour)</t>
  </si>
  <si>
    <t>25 hours</t>
  </si>
  <si>
    <t>50 hours</t>
  </si>
  <si>
    <t>75 hours</t>
  </si>
  <si>
    <t>100 hours</t>
  </si>
  <si>
    <t>125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</si>
</sst>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96B3D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5" fontId="1" fillId="5" borderId="9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65" fontId="1" fillId="5" borderId="10" xfId="0" applyNumberFormat="1" applyFont="1" applyFill="1" applyBorder="1" applyAlignment="1">
      <alignment horizontal="center"/>
    </xf>
    <xf numFmtId="165" fontId="1" fillId="5" borderId="11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166" fontId="1" fillId="5" borderId="9" xfId="0" applyNumberFormat="1" applyFont="1" applyFill="1" applyBorder="1" applyAlignment="1">
      <alignment horizontal="center"/>
    </xf>
    <xf numFmtId="166" fontId="1" fillId="5" borderId="10" xfId="0" applyNumberFormat="1" applyFont="1" applyFill="1" applyBorder="1" applyAlignment="1">
      <alignment horizontal="center"/>
    </xf>
    <xf numFmtId="166" fontId="1" fillId="5" borderId="11" xfId="0" applyNumberFormat="1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89ED-DD26-4390-BBC2-60EA33608CFA}">
  <dimension ref="B4:H56"/>
  <sheetViews>
    <sheetView workbookViewId="0">
      <selection activeCell="J44" sqref="J44"/>
    </sheetView>
  </sheetViews>
  <sheetFormatPr defaultRowHeight="14" x14ac:dyDescent="0.3"/>
  <cols>
    <col min="1" max="1" width="8.7265625" style="17"/>
    <col min="2" max="3" width="17.36328125" style="17" customWidth="1"/>
    <col min="4" max="4" width="17.54296875" style="17" customWidth="1"/>
    <col min="5" max="5" width="17.26953125" style="17" customWidth="1"/>
    <col min="6" max="6" width="17.54296875" style="17" customWidth="1"/>
    <col min="7" max="7" width="19.26953125" style="17" customWidth="1"/>
    <col min="8" max="8" width="18.26953125" style="17" customWidth="1"/>
    <col min="9" max="16384" width="8.7265625" style="17"/>
  </cols>
  <sheetData>
    <row r="4" spans="2:8" ht="14.5" thickBot="1" x14ac:dyDescent="0.35"/>
    <row r="5" spans="2:8" ht="14.5" thickBot="1" x14ac:dyDescent="0.35">
      <c r="B5" s="18" t="s">
        <v>0</v>
      </c>
      <c r="C5" s="19" t="s">
        <v>1</v>
      </c>
    </row>
    <row r="6" spans="2:8" x14ac:dyDescent="0.3">
      <c r="B6" s="20">
        <v>40</v>
      </c>
      <c r="C6" s="19">
        <f>B6+273</f>
        <v>313</v>
      </c>
    </row>
    <row r="7" spans="2:8" x14ac:dyDescent="0.3">
      <c r="B7" s="20">
        <v>50</v>
      </c>
      <c r="C7" s="19">
        <f>B7+273</f>
        <v>323</v>
      </c>
    </row>
    <row r="8" spans="2:8" x14ac:dyDescent="0.3">
      <c r="B8" s="20">
        <v>60</v>
      </c>
      <c r="C8" s="19">
        <f>B8+273</f>
        <v>333</v>
      </c>
    </row>
    <row r="9" spans="2:8" x14ac:dyDescent="0.3">
      <c r="B9" s="20">
        <v>70</v>
      </c>
      <c r="C9" s="19">
        <f>B9+273</f>
        <v>343</v>
      </c>
    </row>
    <row r="10" spans="2:8" ht="14.5" thickBot="1" x14ac:dyDescent="0.35">
      <c r="B10" s="21">
        <v>80</v>
      </c>
      <c r="C10" s="19">
        <f>B10+273</f>
        <v>353</v>
      </c>
    </row>
    <row r="13" spans="2:8" x14ac:dyDescent="0.3">
      <c r="E13" s="17" t="s">
        <v>9</v>
      </c>
    </row>
    <row r="14" spans="2:8" ht="14.5" thickBot="1" x14ac:dyDescent="0.35">
      <c r="B14" s="1" t="s">
        <v>2</v>
      </c>
      <c r="C14" s="5" t="s">
        <v>4</v>
      </c>
      <c r="D14" s="5" t="s">
        <v>5</v>
      </c>
      <c r="E14" s="5" t="s">
        <v>6</v>
      </c>
      <c r="F14" s="5" t="s">
        <v>11</v>
      </c>
      <c r="G14" s="5" t="s">
        <v>7</v>
      </c>
      <c r="H14" s="10" t="s">
        <v>8</v>
      </c>
    </row>
    <row r="15" spans="2:8" x14ac:dyDescent="0.3">
      <c r="B15" s="2">
        <v>50</v>
      </c>
      <c r="C15" s="6">
        <v>4.8372999999999999</v>
      </c>
      <c r="D15" s="6">
        <v>4.6666999999999996</v>
      </c>
      <c r="E15" s="6">
        <f t="shared" ref="E15:E20" si="0">C15-D15</f>
        <v>0.17060000000000031</v>
      </c>
      <c r="F15" s="9">
        <f t="shared" ref="F15:F20" si="1">E15*1000</f>
        <v>170.60000000000031</v>
      </c>
      <c r="G15" s="6">
        <v>49.749600000000001</v>
      </c>
      <c r="H15" s="9">
        <f>(87.6*F15)/(17.2*5*7.85)</f>
        <v>22.136809361576102</v>
      </c>
    </row>
    <row r="16" spans="2:8" x14ac:dyDescent="0.3">
      <c r="B16" s="3">
        <v>100</v>
      </c>
      <c r="C16" s="7">
        <v>4.9028999999999998</v>
      </c>
      <c r="D16" s="7">
        <v>4.7843</v>
      </c>
      <c r="E16" s="6">
        <f t="shared" si="0"/>
        <v>0.11859999999999982</v>
      </c>
      <c r="F16" s="9">
        <f t="shared" si="1"/>
        <v>118.59999999999982</v>
      </c>
      <c r="G16" s="6">
        <v>65.066299999999998</v>
      </c>
      <c r="H16" s="9">
        <f>(87.6*F16)/(17.2*5*7.85)</f>
        <v>15.389364538586852</v>
      </c>
    </row>
    <row r="17" spans="2:8" x14ac:dyDescent="0.3">
      <c r="B17" s="3">
        <v>150</v>
      </c>
      <c r="C17" s="7">
        <v>4.6002999999999998</v>
      </c>
      <c r="D17" s="7">
        <v>4.5003000000000002</v>
      </c>
      <c r="E17" s="6">
        <f t="shared" si="0"/>
        <v>9.9999999999999645E-2</v>
      </c>
      <c r="F17" s="9">
        <f t="shared" si="1"/>
        <v>99.999999999999645</v>
      </c>
      <c r="G17" s="6">
        <v>70.544899999999998</v>
      </c>
      <c r="H17" s="9">
        <f>(87.6*F17)/(17.2*5*7.85)</f>
        <v>12.975855428825312</v>
      </c>
    </row>
    <row r="18" spans="2:8" x14ac:dyDescent="0.3">
      <c r="B18" s="3">
        <v>200</v>
      </c>
      <c r="C18" s="7">
        <v>4.8209</v>
      </c>
      <c r="D18" s="7">
        <v>4.7369000000000003</v>
      </c>
      <c r="E18" s="6">
        <f t="shared" si="0"/>
        <v>8.3999999999999631E-2</v>
      </c>
      <c r="F18" s="9">
        <f t="shared" si="1"/>
        <v>83.999999999999631</v>
      </c>
      <c r="G18" s="6">
        <v>75.2577</v>
      </c>
      <c r="H18" s="9">
        <f>(87.6*F18)/(17.2*5*7.85)</f>
        <v>10.899718560213252</v>
      </c>
    </row>
    <row r="19" spans="2:8" x14ac:dyDescent="0.3">
      <c r="B19" s="3">
        <v>250</v>
      </c>
      <c r="C19" s="7">
        <v>5.2778999999999998</v>
      </c>
      <c r="D19" s="7">
        <v>5.2</v>
      </c>
      <c r="E19" s="6">
        <f t="shared" si="0"/>
        <v>7.7899999999999636E-2</v>
      </c>
      <c r="F19" s="9">
        <f t="shared" si="1"/>
        <v>77.899999999999636</v>
      </c>
      <c r="G19" s="6">
        <v>77.054500000000004</v>
      </c>
      <c r="H19" s="9">
        <f>(87.6*F19)/(17.2*5*7.85)</f>
        <v>10.108191379054908</v>
      </c>
    </row>
    <row r="20" spans="2:8" ht="14.5" thickBot="1" x14ac:dyDescent="0.35">
      <c r="B20" s="4" t="s">
        <v>3</v>
      </c>
      <c r="C20" s="8">
        <v>4.7733999999999996</v>
      </c>
      <c r="D20" s="8">
        <v>4.4339000000000004</v>
      </c>
      <c r="E20" s="6">
        <f t="shared" si="0"/>
        <v>0.33949999999999925</v>
      </c>
      <c r="F20" s="9">
        <f t="shared" si="1"/>
        <v>339.49999999999926</v>
      </c>
      <c r="G20" s="9"/>
      <c r="H20" s="9">
        <f>(87.6*F20)/(17.2*5*7.85)</f>
        <v>44.053029180861991</v>
      </c>
    </row>
    <row r="22" spans="2:8" x14ac:dyDescent="0.3">
      <c r="E22" s="17" t="s">
        <v>10</v>
      </c>
    </row>
    <row r="23" spans="2:8" ht="14.5" thickBot="1" x14ac:dyDescent="0.35">
      <c r="B23" s="1" t="s">
        <v>2</v>
      </c>
      <c r="C23" s="5" t="s">
        <v>4</v>
      </c>
      <c r="D23" s="5" t="s">
        <v>5</v>
      </c>
      <c r="E23" s="5" t="s">
        <v>6</v>
      </c>
      <c r="F23" s="5" t="s">
        <v>11</v>
      </c>
      <c r="G23" s="5" t="s">
        <v>7</v>
      </c>
      <c r="H23" s="10" t="s">
        <v>8</v>
      </c>
    </row>
    <row r="24" spans="2:8" x14ac:dyDescent="0.3">
      <c r="B24" s="2">
        <v>50</v>
      </c>
      <c r="C24" s="6">
        <v>4.9786999999999999</v>
      </c>
      <c r="D24" s="6">
        <v>4.6380999999999997</v>
      </c>
      <c r="E24" s="6">
        <f t="shared" ref="E24:E29" si="2">C24-D24</f>
        <v>0.34060000000000024</v>
      </c>
      <c r="F24" s="6">
        <f t="shared" ref="F24:F29" si="3">E24*1000</f>
        <v>340.60000000000025</v>
      </c>
      <c r="G24" s="9">
        <v>29.960999999999999</v>
      </c>
      <c r="H24" s="9">
        <f>(87.6*F24)/(17.2*5*7.85)</f>
        <v>44.195763590579197</v>
      </c>
    </row>
    <row r="25" spans="2:8" x14ac:dyDescent="0.3">
      <c r="B25" s="3">
        <v>100</v>
      </c>
      <c r="C25" s="7">
        <v>4.9625000000000004</v>
      </c>
      <c r="D25" s="7">
        <v>4.6974</v>
      </c>
      <c r="E25" s="6">
        <f t="shared" si="2"/>
        <v>0.26510000000000034</v>
      </c>
      <c r="F25" s="6">
        <f t="shared" si="3"/>
        <v>265.10000000000036</v>
      </c>
      <c r="G25" s="9">
        <v>45.485999999999997</v>
      </c>
      <c r="H25" s="9">
        <f>(87.6*F25)/(17.2*5*7.85)</f>
        <v>34.398992741816073</v>
      </c>
    </row>
    <row r="26" spans="2:8" x14ac:dyDescent="0.3">
      <c r="B26" s="3">
        <v>150</v>
      </c>
      <c r="C26" s="7">
        <v>5.1017999999999999</v>
      </c>
      <c r="D26" s="7">
        <v>4.9055</v>
      </c>
      <c r="E26" s="6">
        <f t="shared" si="2"/>
        <v>0.19629999999999992</v>
      </c>
      <c r="F26" s="6">
        <f t="shared" si="3"/>
        <v>196.29999999999993</v>
      </c>
      <c r="G26" s="9">
        <v>59.634</v>
      </c>
      <c r="H26" s="9">
        <f>(87.6*F26)/(17.2*5*7.85)</f>
        <v>25.471604206784171</v>
      </c>
    </row>
    <row r="27" spans="2:8" x14ac:dyDescent="0.3">
      <c r="B27" s="3">
        <v>200</v>
      </c>
      <c r="C27" s="7">
        <v>5.0701000000000001</v>
      </c>
      <c r="D27" s="7">
        <v>4.8890000000000002</v>
      </c>
      <c r="E27" s="6">
        <f t="shared" si="2"/>
        <v>0.18109999999999982</v>
      </c>
      <c r="F27" s="6">
        <f t="shared" si="3"/>
        <v>181.09999999999982</v>
      </c>
      <c r="G27" s="9">
        <v>62.76</v>
      </c>
      <c r="H27" s="9">
        <f>(87.6*F27)/(17.2*5*7.85)</f>
        <v>23.499274181602701</v>
      </c>
    </row>
    <row r="28" spans="2:8" x14ac:dyDescent="0.3">
      <c r="B28" s="3">
        <v>250</v>
      </c>
      <c r="C28" s="7">
        <v>4.8875000000000002</v>
      </c>
      <c r="D28" s="7">
        <v>4.7453000000000003</v>
      </c>
      <c r="E28" s="6">
        <f t="shared" si="2"/>
        <v>0.14219999999999988</v>
      </c>
      <c r="F28" s="6">
        <f t="shared" si="3"/>
        <v>142.19999999999987</v>
      </c>
      <c r="G28" s="9">
        <v>70.759</v>
      </c>
      <c r="H28" s="9">
        <f>(87.6*F28)/(17.2*5*7.85)</f>
        <v>18.451666419789643</v>
      </c>
    </row>
    <row r="29" spans="2:8" ht="14.5" thickBot="1" x14ac:dyDescent="0.35">
      <c r="B29" s="4" t="s">
        <v>3</v>
      </c>
      <c r="C29" s="8">
        <v>4.6635999999999997</v>
      </c>
      <c r="D29" s="8">
        <v>4.1772999999999998</v>
      </c>
      <c r="E29" s="6">
        <f t="shared" si="2"/>
        <v>0.48629999999999995</v>
      </c>
      <c r="F29" s="6">
        <f t="shared" si="3"/>
        <v>486.29999999999995</v>
      </c>
      <c r="G29" s="9">
        <f>((E29-E29)/E29)*100</f>
        <v>0</v>
      </c>
      <c r="H29" s="9">
        <f>(87.6*F29)/(17.2*5*7.85)</f>
        <v>63.101584950377706</v>
      </c>
    </row>
    <row r="31" spans="2:8" x14ac:dyDescent="0.3">
      <c r="E31" s="17" t="s">
        <v>12</v>
      </c>
    </row>
    <row r="32" spans="2:8" ht="14.5" thickBot="1" x14ac:dyDescent="0.35">
      <c r="B32" s="1" t="s">
        <v>2</v>
      </c>
      <c r="C32" s="5" t="s">
        <v>4</v>
      </c>
      <c r="D32" s="5" t="s">
        <v>5</v>
      </c>
      <c r="E32" s="5" t="s">
        <v>6</v>
      </c>
      <c r="F32" s="5" t="s">
        <v>11</v>
      </c>
      <c r="G32" s="5" t="s">
        <v>7</v>
      </c>
      <c r="H32" s="10" t="s">
        <v>8</v>
      </c>
    </row>
    <row r="33" spans="2:8" x14ac:dyDescent="0.3">
      <c r="B33" s="2">
        <v>50</v>
      </c>
      <c r="C33" s="9">
        <v>4.6029999999999998</v>
      </c>
      <c r="D33" s="9">
        <v>3.9687999999999999</v>
      </c>
      <c r="E33" s="9">
        <f t="shared" ref="E33:E38" si="4">C33-D33</f>
        <v>0.63419999999999987</v>
      </c>
      <c r="F33" s="9">
        <f t="shared" ref="F33:F38" si="5">E33*1000</f>
        <v>634.19999999999982</v>
      </c>
      <c r="G33" s="9">
        <f>(($E$38-E33)/$E$38)*100</f>
        <v>25.737704918032811</v>
      </c>
      <c r="H33" s="9">
        <f>(87.6*F33)/(17.2*5*7.85)</f>
        <v>82.292875129610408</v>
      </c>
    </row>
    <row r="34" spans="2:8" x14ac:dyDescent="0.3">
      <c r="B34" s="3">
        <v>100</v>
      </c>
      <c r="C34" s="11">
        <v>5.2013999999999996</v>
      </c>
      <c r="D34" s="11">
        <v>4.7130000000000001</v>
      </c>
      <c r="E34" s="9">
        <f t="shared" si="4"/>
        <v>0.4883999999999995</v>
      </c>
      <c r="F34" s="9">
        <f t="shared" si="5"/>
        <v>488.39999999999952</v>
      </c>
      <c r="G34" s="9">
        <f>(($E$38-E34)/$E$38)*100</f>
        <v>42.810304449648775</v>
      </c>
      <c r="H34" s="9">
        <f>(87.6*F34)/(17.2*5*7.85)</f>
        <v>63.37407791438298</v>
      </c>
    </row>
    <row r="35" spans="2:8" x14ac:dyDescent="0.3">
      <c r="B35" s="3">
        <v>150</v>
      </c>
      <c r="C35" s="11">
        <v>4.5635000000000003</v>
      </c>
      <c r="D35" s="11">
        <v>4.1816000000000004</v>
      </c>
      <c r="E35" s="9">
        <f t="shared" si="4"/>
        <v>0.38189999999999991</v>
      </c>
      <c r="F35" s="9">
        <f t="shared" si="5"/>
        <v>381.89999999999992</v>
      </c>
      <c r="G35" s="9">
        <f>(($E$38-E35)/$E$38)*100</f>
        <v>55.281030444964884</v>
      </c>
      <c r="H35" s="9">
        <f>(87.6*F35)/(17.2*5*7.85)</f>
        <v>49.554791882684029</v>
      </c>
    </row>
    <row r="36" spans="2:8" x14ac:dyDescent="0.3">
      <c r="B36" s="3">
        <v>200</v>
      </c>
      <c r="C36" s="11">
        <v>5.2460000000000004</v>
      </c>
      <c r="D36" s="11">
        <v>4.8756000000000004</v>
      </c>
      <c r="E36" s="9">
        <f t="shared" si="4"/>
        <v>0.37040000000000006</v>
      </c>
      <c r="F36" s="9">
        <f t="shared" si="5"/>
        <v>370.40000000000009</v>
      </c>
      <c r="G36" s="9">
        <f>(($E$38-E36)/$E$38)*100</f>
        <v>56.627634660421542</v>
      </c>
      <c r="H36" s="9">
        <f>(87.6*F36)/(17.2*5*7.85)</f>
        <v>48.062568508369132</v>
      </c>
    </row>
    <row r="37" spans="2:8" x14ac:dyDescent="0.3">
      <c r="B37" s="3">
        <v>250</v>
      </c>
      <c r="C37" s="11">
        <v>4.7804000000000002</v>
      </c>
      <c r="D37" s="11">
        <v>4.4870000000000001</v>
      </c>
      <c r="E37" s="9">
        <f t="shared" si="4"/>
        <v>0.29340000000000011</v>
      </c>
      <c r="F37" s="9">
        <f t="shared" si="5"/>
        <v>293.40000000000009</v>
      </c>
      <c r="G37" s="9">
        <f>(($E$38-E37)/$E$38)*100</f>
        <v>65.644028103044477</v>
      </c>
      <c r="H37" s="9">
        <f>(87.6*F37)/(17.2*5*7.85)</f>
        <v>38.071159828173613</v>
      </c>
    </row>
    <row r="38" spans="2:8" ht="14.5" thickBot="1" x14ac:dyDescent="0.35">
      <c r="B38" s="4" t="s">
        <v>3</v>
      </c>
      <c r="C38" s="12">
        <v>4.4340000000000002</v>
      </c>
      <c r="D38" s="12">
        <v>3.58</v>
      </c>
      <c r="E38" s="9">
        <f t="shared" si="4"/>
        <v>0.85400000000000009</v>
      </c>
      <c r="F38" s="9">
        <f t="shared" si="5"/>
        <v>854.00000000000011</v>
      </c>
      <c r="G38" s="9">
        <f>(($E$38-E38)/$E$38)*100</f>
        <v>0</v>
      </c>
      <c r="H38" s="9">
        <f>(87.6*F38)/(17.2*5*7.85)</f>
        <v>110.81380536216858</v>
      </c>
    </row>
    <row r="40" spans="2:8" x14ac:dyDescent="0.3">
      <c r="E40" s="17" t="s">
        <v>13</v>
      </c>
    </row>
    <row r="41" spans="2:8" ht="14.5" thickBot="1" x14ac:dyDescent="0.35">
      <c r="B41" s="1" t="s">
        <v>2</v>
      </c>
      <c r="C41" s="5" t="s">
        <v>4</v>
      </c>
      <c r="D41" s="5" t="s">
        <v>5</v>
      </c>
      <c r="E41" s="5" t="s">
        <v>6</v>
      </c>
      <c r="F41" s="5" t="s">
        <v>11</v>
      </c>
      <c r="G41" s="5" t="s">
        <v>7</v>
      </c>
      <c r="H41" s="10" t="s">
        <v>8</v>
      </c>
    </row>
    <row r="42" spans="2:8" x14ac:dyDescent="0.3">
      <c r="B42" s="2">
        <v>50</v>
      </c>
      <c r="C42" s="9">
        <v>5.1506999999999996</v>
      </c>
      <c r="D42" s="9">
        <v>3.7442000000000002</v>
      </c>
      <c r="E42" s="9">
        <f t="shared" ref="E42:E47" si="6">C42-D42</f>
        <v>1.4064999999999994</v>
      </c>
      <c r="F42" s="9">
        <f t="shared" ref="F42:F47" si="7">E42*1000</f>
        <v>1406.4999999999993</v>
      </c>
      <c r="G42" s="9">
        <f>(($E$47-E42)/$E$47)*100</f>
        <v>19.788993441688099</v>
      </c>
      <c r="H42" s="9">
        <f>(87.6*F42)/(17.2*5*7.85)</f>
        <v>182.50540660642858</v>
      </c>
    </row>
    <row r="43" spans="2:8" x14ac:dyDescent="0.3">
      <c r="B43" s="3">
        <v>100</v>
      </c>
      <c r="C43" s="11">
        <v>5.0865999999999998</v>
      </c>
      <c r="D43" s="11">
        <v>4.05</v>
      </c>
      <c r="E43" s="9">
        <f t="shared" si="6"/>
        <v>1.0366</v>
      </c>
      <c r="F43" s="9">
        <f t="shared" si="7"/>
        <v>1036.5999999999999</v>
      </c>
      <c r="G43" s="9">
        <f>(($E$47-E43)/$E$47)*100</f>
        <v>40.883946392928436</v>
      </c>
      <c r="H43" s="9">
        <f>(87.6*F43)/(17.2*5*7.85)</f>
        <v>134.50771737520364</v>
      </c>
    </row>
    <row r="44" spans="2:8" x14ac:dyDescent="0.3">
      <c r="B44" s="3">
        <v>150</v>
      </c>
      <c r="C44" s="11">
        <v>4.7633000000000001</v>
      </c>
      <c r="D44" s="11">
        <v>3.8950999999999998</v>
      </c>
      <c r="E44" s="9">
        <f t="shared" si="6"/>
        <v>0.8682000000000003</v>
      </c>
      <c r="F44" s="9">
        <f t="shared" si="7"/>
        <v>868.20000000000027</v>
      </c>
      <c r="G44" s="9">
        <f>(($E$47-E44)/$E$47)*100</f>
        <v>50.487596236099222</v>
      </c>
      <c r="H44" s="9">
        <f>(87.6*F44)/(17.2*5*7.85)</f>
        <v>112.6563768330618</v>
      </c>
    </row>
    <row r="45" spans="2:8" x14ac:dyDescent="0.3">
      <c r="B45" s="3">
        <v>200</v>
      </c>
      <c r="C45" s="11">
        <v>5.0808</v>
      </c>
      <c r="D45" s="11">
        <v>4.3215000000000003</v>
      </c>
      <c r="E45" s="9">
        <f t="shared" si="6"/>
        <v>0.75929999999999964</v>
      </c>
      <c r="F45" s="9">
        <f t="shared" si="7"/>
        <v>759.29999999999961</v>
      </c>
      <c r="G45" s="9">
        <f>(($E$47-E45)/$E$47)*100</f>
        <v>56.698032506415764</v>
      </c>
      <c r="H45" s="9">
        <f>(87.6*F45)/(17.2*5*7.85)</f>
        <v>98.525670271070894</v>
      </c>
    </row>
    <row r="46" spans="2:8" x14ac:dyDescent="0.3">
      <c r="B46" s="3">
        <v>250</v>
      </c>
      <c r="C46" s="11">
        <v>4.9619999999999997</v>
      </c>
      <c r="D46" s="11">
        <v>4.2516999999999996</v>
      </c>
      <c r="E46" s="9">
        <f t="shared" si="6"/>
        <v>0.71030000000000015</v>
      </c>
      <c r="F46" s="9">
        <f t="shared" si="7"/>
        <v>710.30000000000018</v>
      </c>
      <c r="G46" s="9">
        <f>(($E$47-E46)/$E$47)*100</f>
        <v>59.492443684060447</v>
      </c>
      <c r="H46" s="9">
        <f>(87.6*F46)/(17.2*5*7.85)</f>
        <v>92.167501110946546</v>
      </c>
    </row>
    <row r="47" spans="2:8" ht="14.5" thickBot="1" x14ac:dyDescent="0.35">
      <c r="B47" s="4" t="s">
        <v>3</v>
      </c>
      <c r="C47" s="12">
        <v>4.5441000000000003</v>
      </c>
      <c r="D47" s="12">
        <v>2.7906</v>
      </c>
      <c r="E47" s="9">
        <f t="shared" si="6"/>
        <v>1.7535000000000003</v>
      </c>
      <c r="F47" s="9">
        <f t="shared" si="7"/>
        <v>1753.5000000000002</v>
      </c>
      <c r="G47" s="9">
        <f>(($E$47-E47)/$E$47)*100</f>
        <v>0</v>
      </c>
      <c r="H47" s="9">
        <f>(87.6*F47)/(17.2*5*7.85)</f>
        <v>227.53162494445269</v>
      </c>
    </row>
    <row r="49" spans="2:8" x14ac:dyDescent="0.3">
      <c r="E49" s="17" t="s">
        <v>14</v>
      </c>
    </row>
    <row r="50" spans="2:8" ht="14.5" thickBot="1" x14ac:dyDescent="0.35">
      <c r="B50" s="1" t="s">
        <v>2</v>
      </c>
      <c r="C50" s="5" t="s">
        <v>4</v>
      </c>
      <c r="D50" s="5" t="s">
        <v>5</v>
      </c>
      <c r="E50" s="5" t="s">
        <v>6</v>
      </c>
      <c r="F50" s="5" t="s">
        <v>11</v>
      </c>
      <c r="G50" s="5" t="s">
        <v>7</v>
      </c>
      <c r="H50" s="10" t="s">
        <v>8</v>
      </c>
    </row>
    <row r="51" spans="2:8" x14ac:dyDescent="0.3">
      <c r="B51" s="2">
        <v>50</v>
      </c>
      <c r="C51" s="9">
        <v>4.5068000000000001</v>
      </c>
      <c r="D51" s="9">
        <v>2.7448000000000001</v>
      </c>
      <c r="E51" s="9">
        <f t="shared" ref="E51:E56" si="8">C51-D51</f>
        <v>1.762</v>
      </c>
      <c r="F51" s="9">
        <f t="shared" ref="F51:F56" si="9">E51*1000</f>
        <v>1762</v>
      </c>
      <c r="G51" s="9">
        <f>(($E$56-E51)/$E$56)*100</f>
        <v>1.3272106176849567</v>
      </c>
      <c r="H51" s="9">
        <f>(87.6*F51)/(17.2*5*7.85)</f>
        <v>228.63457265590279</v>
      </c>
    </row>
    <row r="52" spans="2:8" x14ac:dyDescent="0.3">
      <c r="B52" s="3">
        <v>100</v>
      </c>
      <c r="C52" s="11">
        <v>4.7150999999999996</v>
      </c>
      <c r="D52" s="11">
        <v>2.9626000000000001</v>
      </c>
      <c r="E52" s="9">
        <f t="shared" si="8"/>
        <v>1.7524999999999995</v>
      </c>
      <c r="F52" s="9">
        <f t="shared" si="9"/>
        <v>1752.4999999999995</v>
      </c>
      <c r="G52" s="9">
        <f>(($E$56-E52)/$E$56)*100</f>
        <v>1.8592148737190333</v>
      </c>
      <c r="H52" s="9">
        <f>(87.6*F52)/(17.2*5*7.85)</f>
        <v>227.40186639016432</v>
      </c>
    </row>
    <row r="53" spans="2:8" x14ac:dyDescent="0.3">
      <c r="B53" s="3">
        <v>150</v>
      </c>
      <c r="C53" s="11">
        <v>4.9720000000000004</v>
      </c>
      <c r="D53" s="11">
        <v>3.2296999999999998</v>
      </c>
      <c r="E53" s="9">
        <f t="shared" si="8"/>
        <v>1.7423000000000006</v>
      </c>
      <c r="F53" s="9">
        <f t="shared" si="9"/>
        <v>1742.3000000000006</v>
      </c>
      <c r="G53" s="9">
        <f>(($E$56-E53)/$E$56)*100</f>
        <v>2.4304194433555275</v>
      </c>
      <c r="H53" s="9">
        <f>(87.6*F53)/(17.2*5*7.85)</f>
        <v>226.07832913642429</v>
      </c>
    </row>
    <row r="54" spans="2:8" x14ac:dyDescent="0.3">
      <c r="B54" s="3">
        <v>200</v>
      </c>
      <c r="C54" s="11">
        <v>5.1615000000000002</v>
      </c>
      <c r="D54" s="11">
        <v>3.4386999999999999</v>
      </c>
      <c r="E54" s="9">
        <f t="shared" si="8"/>
        <v>1.7228000000000003</v>
      </c>
      <c r="F54" s="9">
        <f t="shared" si="9"/>
        <v>1722.8000000000004</v>
      </c>
      <c r="G54" s="9">
        <f>(($E$56-E54)/$E$56)*100</f>
        <v>3.5224281794254324</v>
      </c>
      <c r="H54" s="9">
        <f>(87.6*F54)/(17.2*5*7.85)</f>
        <v>223.54803732780331</v>
      </c>
    </row>
    <row r="55" spans="2:8" x14ac:dyDescent="0.3">
      <c r="B55" s="3">
        <v>250</v>
      </c>
      <c r="C55" s="11">
        <v>4.8566000000000003</v>
      </c>
      <c r="D55" s="11">
        <v>3.1600999999999999</v>
      </c>
      <c r="E55" s="9">
        <f t="shared" si="8"/>
        <v>1.6965000000000003</v>
      </c>
      <c r="F55" s="9">
        <f t="shared" si="9"/>
        <v>1696.5000000000005</v>
      </c>
      <c r="G55" s="9">
        <f>(($E$56-E55)/$E$56)*100</f>
        <v>4.9952399619196921</v>
      </c>
      <c r="H55" s="9">
        <f>(87.6*F55)/(17.2*5*7.85)</f>
        <v>220.13538735002226</v>
      </c>
    </row>
    <row r="56" spans="2:8" ht="14.5" thickBot="1" x14ac:dyDescent="0.35">
      <c r="B56" s="4" t="s">
        <v>3</v>
      </c>
      <c r="C56" s="12">
        <v>5.2895000000000003</v>
      </c>
      <c r="D56" s="12">
        <v>3.5038</v>
      </c>
      <c r="E56" s="9">
        <f t="shared" si="8"/>
        <v>1.7857000000000003</v>
      </c>
      <c r="F56" s="9">
        <f t="shared" si="9"/>
        <v>1785.7000000000003</v>
      </c>
      <c r="G56" s="9">
        <f>(($E$56-E56)/$E$56)*100</f>
        <v>0</v>
      </c>
      <c r="H56" s="9">
        <f>(87.6*F56)/(17.2*5*7.85)</f>
        <v>231.70985039253443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61FA-132D-486C-A6BC-9044C11A03A8}">
  <dimension ref="A2:H53"/>
  <sheetViews>
    <sheetView tabSelected="1" workbookViewId="0">
      <selection activeCell="H41" sqref="H41"/>
    </sheetView>
  </sheetViews>
  <sheetFormatPr defaultRowHeight="14" x14ac:dyDescent="0.3"/>
  <cols>
    <col min="1" max="1" width="17.36328125" style="17" customWidth="1"/>
    <col min="2" max="2" width="17.453125" style="17" customWidth="1"/>
    <col min="3" max="3" width="17.6328125" style="17" customWidth="1"/>
    <col min="4" max="5" width="17.36328125" style="17" customWidth="1"/>
    <col min="6" max="6" width="18.6328125" style="17" customWidth="1"/>
    <col min="7" max="7" width="17.81640625" style="17" customWidth="1"/>
    <col min="8" max="8" width="16.54296875" style="17" customWidth="1"/>
    <col min="9" max="16384" width="8.7265625" style="17"/>
  </cols>
  <sheetData>
    <row r="2" spans="1:8" x14ac:dyDescent="0.3">
      <c r="D2" s="17" t="s">
        <v>16</v>
      </c>
    </row>
    <row r="3" spans="1:8" ht="14.5" thickBot="1" x14ac:dyDescent="0.35">
      <c r="A3" s="1" t="s">
        <v>2</v>
      </c>
      <c r="B3" s="5" t="s">
        <v>4</v>
      </c>
      <c r="C3" s="5" t="s">
        <v>5</v>
      </c>
      <c r="D3" s="5" t="s">
        <v>6</v>
      </c>
      <c r="E3" s="5" t="s">
        <v>11</v>
      </c>
      <c r="F3" s="5" t="s">
        <v>7</v>
      </c>
      <c r="G3" s="10" t="s">
        <v>8</v>
      </c>
      <c r="H3" s="13" t="s">
        <v>15</v>
      </c>
    </row>
    <row r="4" spans="1:8" x14ac:dyDescent="0.3">
      <c r="A4" s="2">
        <v>50</v>
      </c>
      <c r="B4" s="9">
        <v>4.8531000000000004</v>
      </c>
      <c r="C4" s="9">
        <v>4.7111999999999998</v>
      </c>
      <c r="D4" s="9">
        <f t="shared" ref="D4:D9" si="0">B4-C4</f>
        <v>0.14190000000000058</v>
      </c>
      <c r="E4" s="9">
        <f>D4*1000</f>
        <v>141.90000000000057</v>
      </c>
      <c r="F4" s="9">
        <f>(($D$9-D4)/$D$9)*100</f>
        <v>81.43642072213494</v>
      </c>
      <c r="G4" s="9">
        <f>(87.6*E4)/(17.2*25*7.85)</f>
        <v>3.6825477707006518</v>
      </c>
      <c r="H4" s="17">
        <v>25</v>
      </c>
    </row>
    <row r="5" spans="1:8" x14ac:dyDescent="0.3">
      <c r="A5" s="3">
        <v>100</v>
      </c>
      <c r="B5" s="11">
        <v>5.0693000000000001</v>
      </c>
      <c r="C5" s="11">
        <v>4.9504000000000001</v>
      </c>
      <c r="D5" s="9">
        <f t="shared" si="0"/>
        <v>0.11890000000000001</v>
      </c>
      <c r="E5" s="9">
        <f>D5*1000</f>
        <v>118.9</v>
      </c>
      <c r="F5" s="9">
        <f>(($D$9-D5)/$D$9)*100</f>
        <v>84.445316588173739</v>
      </c>
      <c r="G5" s="9">
        <f>(87.6*E5)/(17.2*25*7.85)</f>
        <v>3.0856584209746702</v>
      </c>
      <c r="H5" s="17">
        <v>50</v>
      </c>
    </row>
    <row r="6" spans="1:8" x14ac:dyDescent="0.3">
      <c r="A6" s="3">
        <v>150</v>
      </c>
      <c r="B6" s="11">
        <v>5.0262000000000002</v>
      </c>
      <c r="C6" s="11">
        <v>4.9119000000000002</v>
      </c>
      <c r="D6" s="9">
        <f t="shared" si="0"/>
        <v>0.11430000000000007</v>
      </c>
      <c r="E6" s="9">
        <f>D6*1000</f>
        <v>114.30000000000007</v>
      </c>
      <c r="F6" s="9">
        <f>(($D$9-D6)/$D$9)*100</f>
        <v>85.04709576138147</v>
      </c>
      <c r="G6" s="9">
        <f>(87.6*E6)/(17.2*25*7.85)</f>
        <v>2.9662805510294787</v>
      </c>
      <c r="H6" s="17">
        <v>75</v>
      </c>
    </row>
    <row r="7" spans="1:8" x14ac:dyDescent="0.3">
      <c r="A7" s="3">
        <v>200</v>
      </c>
      <c r="B7" s="11">
        <v>4.9585999999999997</v>
      </c>
      <c r="C7" s="11">
        <v>4.8616999999999999</v>
      </c>
      <c r="D7" s="9">
        <f t="shared" si="0"/>
        <v>9.6899999999999764E-2</v>
      </c>
      <c r="E7" s="9">
        <f>D7*1000</f>
        <v>96.899999999999764</v>
      </c>
      <c r="F7" s="9">
        <f>(($D$9-D7)/$D$9)*100</f>
        <v>87.323390894819497</v>
      </c>
      <c r="G7" s="9">
        <f>(87.6*E7)/(17.2*25*7.85)</f>
        <v>2.5147207821063482</v>
      </c>
      <c r="H7" s="17">
        <v>100</v>
      </c>
    </row>
    <row r="8" spans="1:8" x14ac:dyDescent="0.3">
      <c r="A8" s="3">
        <v>250</v>
      </c>
      <c r="B8" s="11">
        <v>4.9246999999999996</v>
      </c>
      <c r="C8" s="11">
        <v>4.8338000000000001</v>
      </c>
      <c r="D8" s="9">
        <f t="shared" si="0"/>
        <v>9.0899999999999537E-2</v>
      </c>
      <c r="E8" s="9">
        <f>D8*1000</f>
        <v>90.899999999999537</v>
      </c>
      <c r="F8" s="9">
        <f>(($D$9-D8)/$D$9)*100</f>
        <v>88.108320251177446</v>
      </c>
      <c r="G8" s="9">
        <f>(87.6*E8)/(17.2*25*7.85)</f>
        <v>2.3590105169604381</v>
      </c>
      <c r="H8" s="17">
        <v>125</v>
      </c>
    </row>
    <row r="9" spans="1:8" ht="14.5" thickBot="1" x14ac:dyDescent="0.35">
      <c r="A9" s="4" t="s">
        <v>3</v>
      </c>
      <c r="B9" s="12">
        <v>5.1345999999999998</v>
      </c>
      <c r="C9" s="12">
        <v>4.3701999999999996</v>
      </c>
      <c r="D9" s="9">
        <f t="shared" si="0"/>
        <v>0.76440000000000019</v>
      </c>
      <c r="E9" s="9">
        <f>D9*1000</f>
        <v>764.4000000000002</v>
      </c>
      <c r="F9" s="9">
        <f>(($D$9-D9)/$D$9)*100</f>
        <v>0</v>
      </c>
      <c r="G9" s="9">
        <f>(87.6*E9)/(17.2*25*7.85)</f>
        <v>19.837487779588216</v>
      </c>
    </row>
    <row r="13" spans="1:8" x14ac:dyDescent="0.3">
      <c r="D13" s="17" t="s">
        <v>17</v>
      </c>
    </row>
    <row r="14" spans="1:8" ht="14.5" thickBot="1" x14ac:dyDescent="0.35">
      <c r="A14" s="1" t="s">
        <v>2</v>
      </c>
      <c r="B14" s="5" t="s">
        <v>4</v>
      </c>
      <c r="C14" s="5" t="s">
        <v>5</v>
      </c>
      <c r="D14" s="5" t="s">
        <v>6</v>
      </c>
      <c r="E14" s="5" t="s">
        <v>11</v>
      </c>
      <c r="F14" s="5" t="s">
        <v>7</v>
      </c>
      <c r="G14" s="10" t="s">
        <v>8</v>
      </c>
    </row>
    <row r="15" spans="1:8" x14ac:dyDescent="0.3">
      <c r="A15" s="2">
        <v>50</v>
      </c>
      <c r="B15" s="14">
        <v>5.0377000000000001</v>
      </c>
      <c r="C15" s="6">
        <v>4.7404000000000002</v>
      </c>
      <c r="D15" s="6">
        <f t="shared" ref="D15:D20" si="1">B15-C15</f>
        <v>0.2972999999999999</v>
      </c>
      <c r="E15" s="9">
        <f>D15*1000</f>
        <v>297.2999999999999</v>
      </c>
      <c r="F15" s="9">
        <f>(($D$20-D15)/$D$20)*100</f>
        <v>78.585320175754532</v>
      </c>
      <c r="G15" s="9">
        <f>(87.6*E15)/(17.2*50*7.85)</f>
        <v>3.8577218189897775</v>
      </c>
    </row>
    <row r="16" spans="1:8" x14ac:dyDescent="0.3">
      <c r="A16" s="3">
        <v>100</v>
      </c>
      <c r="B16" s="15">
        <v>4.9794</v>
      </c>
      <c r="C16" s="7">
        <v>4.72</v>
      </c>
      <c r="D16" s="6">
        <f t="shared" si="1"/>
        <v>0.2594000000000003</v>
      </c>
      <c r="E16" s="9">
        <f>D16*1000</f>
        <v>259.40000000000032</v>
      </c>
      <c r="F16" s="9">
        <f>(($D$20-D16)/$D$20)*100</f>
        <v>81.315277677735338</v>
      </c>
      <c r="G16" s="9">
        <f>(87.6*E16)/(17.2*50*7.85)</f>
        <v>3.3659368982373024</v>
      </c>
    </row>
    <row r="17" spans="1:7" x14ac:dyDescent="0.3">
      <c r="A17" s="3">
        <v>150</v>
      </c>
      <c r="B17" s="15">
        <v>4.8464999999999998</v>
      </c>
      <c r="C17" s="7">
        <v>4.6111000000000004</v>
      </c>
      <c r="D17" s="6">
        <f t="shared" si="1"/>
        <v>0.23539999999999939</v>
      </c>
      <c r="E17" s="9">
        <f>D17*1000</f>
        <v>235.39999999999938</v>
      </c>
      <c r="F17" s="9">
        <f>(($D$20-D17)/$D$20)*100</f>
        <v>83.044010660520101</v>
      </c>
      <c r="G17" s="9">
        <f>(87.6*E17)/(17.2*50*7.85)</f>
        <v>3.0545163679454812</v>
      </c>
    </row>
    <row r="18" spans="1:7" x14ac:dyDescent="0.3">
      <c r="A18" s="3">
        <v>200</v>
      </c>
      <c r="B18" s="15">
        <v>4.7713999999999999</v>
      </c>
      <c r="C18" s="7">
        <v>4.5515999999999996</v>
      </c>
      <c r="D18" s="6">
        <f t="shared" si="1"/>
        <v>0.21980000000000022</v>
      </c>
      <c r="E18" s="9">
        <f>D18*1000</f>
        <v>219.80000000000021</v>
      </c>
      <c r="F18" s="9">
        <f>(($D$20-D18)/$D$20)*100</f>
        <v>84.167687099330095</v>
      </c>
      <c r="G18" s="9">
        <f>(87.6*E18)/(17.2*50*7.85)</f>
        <v>2.8520930232558164</v>
      </c>
    </row>
    <row r="19" spans="1:7" x14ac:dyDescent="0.3">
      <c r="A19" s="3">
        <v>250</v>
      </c>
      <c r="B19" s="15">
        <v>5.2816999999999998</v>
      </c>
      <c r="C19" s="7">
        <v>5.0679999999999996</v>
      </c>
      <c r="D19" s="6">
        <f t="shared" si="1"/>
        <v>0.21370000000000022</v>
      </c>
      <c r="E19" s="9">
        <f>D19*1000</f>
        <v>213.70000000000022</v>
      </c>
      <c r="F19" s="9">
        <f>(($D$20-D19)/$D$20)*100</f>
        <v>84.607073399121205</v>
      </c>
      <c r="G19" s="9">
        <f>(87.6*E19)/(17.2*50*7.85)</f>
        <v>2.7729403051399819</v>
      </c>
    </row>
    <row r="20" spans="1:7" ht="14.5" thickBot="1" x14ac:dyDescent="0.35">
      <c r="A20" s="4" t="s">
        <v>3</v>
      </c>
      <c r="B20" s="16">
        <v>5.3217999999999996</v>
      </c>
      <c r="C20" s="8">
        <v>3.9335</v>
      </c>
      <c r="D20" s="6">
        <f t="shared" si="1"/>
        <v>1.3882999999999996</v>
      </c>
      <c r="E20" s="9">
        <f>D20*1000</f>
        <v>1388.2999999999997</v>
      </c>
      <c r="F20" s="9">
        <f>(($D$20-D20)/$D$20)*100</f>
        <v>0</v>
      </c>
      <c r="G20" s="9">
        <f>(87.6*E20)/(17.2*50*7.85)</f>
        <v>18.014380091838241</v>
      </c>
    </row>
    <row r="24" spans="1:7" x14ac:dyDescent="0.3">
      <c r="D24" s="17" t="s">
        <v>18</v>
      </c>
    </row>
    <row r="25" spans="1:7" ht="14.5" thickBot="1" x14ac:dyDescent="0.35">
      <c r="A25" s="1" t="s">
        <v>2</v>
      </c>
      <c r="B25" s="5" t="s">
        <v>4</v>
      </c>
      <c r="C25" s="5" t="s">
        <v>5</v>
      </c>
      <c r="D25" s="5" t="s">
        <v>6</v>
      </c>
      <c r="E25" s="5" t="s">
        <v>11</v>
      </c>
      <c r="F25" s="5" t="s">
        <v>7</v>
      </c>
      <c r="G25" s="10" t="s">
        <v>8</v>
      </c>
    </row>
    <row r="26" spans="1:7" x14ac:dyDescent="0.3">
      <c r="A26" s="2">
        <v>50</v>
      </c>
      <c r="B26" s="6">
        <v>5.0932000000000004</v>
      </c>
      <c r="C26" s="6">
        <v>4.6477000000000004</v>
      </c>
      <c r="D26" s="9">
        <f t="shared" ref="D26:D31" si="2">B26-C26</f>
        <v>0.44550000000000001</v>
      </c>
      <c r="E26" s="9">
        <f>D26*1000</f>
        <v>445.5</v>
      </c>
      <c r="F26" s="9">
        <f>(($D$31-D26)/$D$31)*100</f>
        <v>77.362804878048792</v>
      </c>
      <c r="G26" s="9">
        <f>(87.6*E26)/(17.2*75*7.85)</f>
        <v>3.8538290623611311</v>
      </c>
    </row>
    <row r="27" spans="1:7" x14ac:dyDescent="0.3">
      <c r="A27" s="3">
        <v>100</v>
      </c>
      <c r="B27" s="7">
        <v>5.0655999999999999</v>
      </c>
      <c r="C27" s="7">
        <v>4.6909999999999998</v>
      </c>
      <c r="D27" s="9">
        <f t="shared" si="2"/>
        <v>0.37460000000000004</v>
      </c>
      <c r="E27" s="9">
        <f>D27*1000</f>
        <v>374.6</v>
      </c>
      <c r="F27" s="9">
        <f>(($D$31-D27)/$D$31)*100</f>
        <v>80.965447154471548</v>
      </c>
      <c r="G27" s="9">
        <f>(87.6*E27)/(17.2*75*7.85)</f>
        <v>3.2405036290919864</v>
      </c>
    </row>
    <row r="28" spans="1:7" x14ac:dyDescent="0.3">
      <c r="A28" s="3">
        <v>150</v>
      </c>
      <c r="B28" s="7">
        <v>5.3872</v>
      </c>
      <c r="C28" s="7">
        <v>5.0218999999999996</v>
      </c>
      <c r="D28" s="9">
        <f t="shared" si="2"/>
        <v>0.3653000000000004</v>
      </c>
      <c r="E28" s="9">
        <f>D28*1000</f>
        <v>365.30000000000041</v>
      </c>
      <c r="F28" s="9">
        <f>(($D$31-D28)/$D$31)*100</f>
        <v>81.438008130081286</v>
      </c>
      <c r="G28" s="9">
        <f>(87.6*E28)/(17.2*75*7.85)</f>
        <v>3.1600533254332728</v>
      </c>
    </row>
    <row r="29" spans="1:7" x14ac:dyDescent="0.3">
      <c r="A29" s="3">
        <v>200</v>
      </c>
      <c r="B29" s="7">
        <v>5.2602000000000002</v>
      </c>
      <c r="C29" s="7">
        <v>4.8998999999999997</v>
      </c>
      <c r="D29" s="9">
        <f t="shared" si="2"/>
        <v>0.36030000000000051</v>
      </c>
      <c r="E29" s="9">
        <f>D29*1000</f>
        <v>360.30000000000052</v>
      </c>
      <c r="F29" s="9">
        <f>(($D$31-D29)/$D$31)*100</f>
        <v>81.692073170731689</v>
      </c>
      <c r="G29" s="9">
        <f>(87.6*E29)/(17.2*75*7.85)</f>
        <v>3.1168004740038553</v>
      </c>
    </row>
    <row r="30" spans="1:7" x14ac:dyDescent="0.3">
      <c r="A30" s="3">
        <v>250</v>
      </c>
      <c r="B30" s="7">
        <v>4.9650999999999996</v>
      </c>
      <c r="C30" s="7">
        <v>4.6478999999999999</v>
      </c>
      <c r="D30" s="9">
        <f t="shared" si="2"/>
        <v>0.3171999999999997</v>
      </c>
      <c r="E30" s="9">
        <f>D30*1000</f>
        <v>317.1999999999997</v>
      </c>
      <c r="F30" s="9">
        <f>(($D$31-D30)/$D$31)*100</f>
        <v>83.882113821138233</v>
      </c>
      <c r="G30" s="9">
        <f>(87.6*E30)/(17.2*75*7.85)</f>
        <v>2.7439608946822664</v>
      </c>
    </row>
    <row r="31" spans="1:7" ht="14.5" thickBot="1" x14ac:dyDescent="0.35">
      <c r="A31" s="4" t="s">
        <v>3</v>
      </c>
      <c r="B31" s="8">
        <v>5.0326000000000004</v>
      </c>
      <c r="C31" s="8">
        <v>3.0646</v>
      </c>
      <c r="D31" s="9">
        <f t="shared" si="2"/>
        <v>1.9680000000000004</v>
      </c>
      <c r="E31" s="9">
        <f>D31*1000</f>
        <v>1968.0000000000005</v>
      </c>
      <c r="F31" s="9">
        <f>(($D$31-D31)/$D$31)*100</f>
        <v>0</v>
      </c>
      <c r="G31" s="9">
        <f>(87.6*E31)/(17.2*75*7.85)</f>
        <v>17.024322322618872</v>
      </c>
    </row>
    <row r="35" spans="1:7" x14ac:dyDescent="0.3">
      <c r="D35" s="17" t="s">
        <v>19</v>
      </c>
    </row>
    <row r="36" spans="1:7" ht="14.5" thickBot="1" x14ac:dyDescent="0.35">
      <c r="A36" s="1" t="s">
        <v>2</v>
      </c>
      <c r="B36" s="5" t="s">
        <v>4</v>
      </c>
      <c r="C36" s="5" t="s">
        <v>5</v>
      </c>
      <c r="D36" s="5" t="s">
        <v>6</v>
      </c>
      <c r="E36" s="5" t="s">
        <v>11</v>
      </c>
      <c r="F36" s="5" t="s">
        <v>7</v>
      </c>
      <c r="G36" s="10" t="s">
        <v>8</v>
      </c>
    </row>
    <row r="37" spans="1:7" x14ac:dyDescent="0.3">
      <c r="A37" s="2">
        <v>50</v>
      </c>
      <c r="B37" s="9">
        <v>4.9543999999999997</v>
      </c>
      <c r="C37" s="9">
        <v>4.3303000000000003</v>
      </c>
      <c r="D37" s="9">
        <f t="shared" ref="D37:D42" si="3">B37-C37</f>
        <v>0.62409999999999943</v>
      </c>
      <c r="E37" s="9">
        <f>D37*1000</f>
        <v>624.09999999999945</v>
      </c>
      <c r="F37" s="9">
        <f>(($D$42-D37)/$D$42)*100</f>
        <v>75.80445064743742</v>
      </c>
      <c r="G37" s="9">
        <f>(87.6*E37)/(17.2*100*7.85)</f>
        <v>4.0491156865649494</v>
      </c>
    </row>
    <row r="38" spans="1:7" x14ac:dyDescent="0.3">
      <c r="A38" s="3">
        <v>100</v>
      </c>
      <c r="B38" s="11">
        <v>5.0152000000000001</v>
      </c>
      <c r="C38" s="11">
        <v>4.4947999999999997</v>
      </c>
      <c r="D38" s="9">
        <f t="shared" si="3"/>
        <v>0.52040000000000042</v>
      </c>
      <c r="E38" s="9">
        <f>D38*1000</f>
        <v>520.40000000000043</v>
      </c>
      <c r="F38" s="9">
        <f>(($D$42-D38)/$D$42)*100</f>
        <v>79.824765449329277</v>
      </c>
      <c r="G38" s="9">
        <f>(87.6*E38)/(17.2*100*7.85)</f>
        <v>3.3763175825803611</v>
      </c>
    </row>
    <row r="39" spans="1:7" x14ac:dyDescent="0.3">
      <c r="A39" s="3">
        <v>150</v>
      </c>
      <c r="B39" s="11">
        <v>5.0877999999999997</v>
      </c>
      <c r="C39" s="11">
        <v>4.577</v>
      </c>
      <c r="D39" s="9">
        <f t="shared" si="3"/>
        <v>0.5107999999999997</v>
      </c>
      <c r="E39" s="9">
        <f>D39*1000</f>
        <v>510.79999999999973</v>
      </c>
      <c r="F39" s="9">
        <f>(($D$42-D39)/$D$42)*100</f>
        <v>80.19694502597504</v>
      </c>
      <c r="G39" s="9">
        <f>(87.6*E39)/(17.2*100*7.85)</f>
        <v>3.3140334765219945</v>
      </c>
    </row>
    <row r="40" spans="1:7" x14ac:dyDescent="0.3">
      <c r="A40" s="3">
        <v>200</v>
      </c>
      <c r="B40" s="11">
        <v>5.1489000000000003</v>
      </c>
      <c r="C40" s="11">
        <v>4.6837999999999997</v>
      </c>
      <c r="D40" s="9">
        <f t="shared" si="3"/>
        <v>0.46510000000000051</v>
      </c>
      <c r="E40" s="9">
        <f>D40*1000</f>
        <v>465.10000000000053</v>
      </c>
      <c r="F40" s="9">
        <f>(($D$42-D40)/$D$42)*100</f>
        <v>81.968674885632296</v>
      </c>
      <c r="G40" s="9">
        <f>(87.6*E40)/(17.2*100*7.85)</f>
        <v>3.0175351799733408</v>
      </c>
    </row>
    <row r="41" spans="1:7" x14ac:dyDescent="0.3">
      <c r="A41" s="3">
        <v>250</v>
      </c>
      <c r="B41" s="11">
        <v>5.0975999999999999</v>
      </c>
      <c r="C41" s="11">
        <v>4.6553000000000004</v>
      </c>
      <c r="D41" s="9">
        <f t="shared" si="3"/>
        <v>0.44229999999999947</v>
      </c>
      <c r="E41" s="9">
        <f>D41*1000</f>
        <v>442.2999999999995</v>
      </c>
      <c r="F41" s="9">
        <f>(($D$42-D41)/$D$42)*100</f>
        <v>82.85260138016595</v>
      </c>
      <c r="G41" s="9">
        <f>(87.6*E41)/(17.2*100*7.85)</f>
        <v>2.8696104280847248</v>
      </c>
    </row>
    <row r="42" spans="1:7" ht="14.5" thickBot="1" x14ac:dyDescent="0.35">
      <c r="A42" s="4" t="s">
        <v>3</v>
      </c>
      <c r="B42" s="12">
        <v>5.1113</v>
      </c>
      <c r="C42" s="12">
        <v>2.5318999999999998</v>
      </c>
      <c r="D42" s="9">
        <f t="shared" si="3"/>
        <v>2.5794000000000001</v>
      </c>
      <c r="E42" s="9">
        <f>D42*1000</f>
        <v>2579.4</v>
      </c>
      <c r="F42" s="9"/>
      <c r="G42" s="9">
        <f>(87.6*E42)/(17.2*100*7.85)</f>
        <v>16.734960746556066</v>
      </c>
    </row>
    <row r="46" spans="1:7" x14ac:dyDescent="0.3">
      <c r="D46" s="17" t="s">
        <v>20</v>
      </c>
    </row>
    <row r="47" spans="1:7" ht="14.5" thickBot="1" x14ac:dyDescent="0.35">
      <c r="A47" s="1" t="s">
        <v>2</v>
      </c>
      <c r="B47" s="5" t="s">
        <v>4</v>
      </c>
      <c r="C47" s="5" t="s">
        <v>5</v>
      </c>
      <c r="D47" s="5" t="s">
        <v>6</v>
      </c>
      <c r="E47" s="5" t="s">
        <v>11</v>
      </c>
      <c r="F47" s="5" t="s">
        <v>7</v>
      </c>
      <c r="G47" s="10" t="s">
        <v>8</v>
      </c>
    </row>
    <row r="48" spans="1:7" x14ac:dyDescent="0.3">
      <c r="A48" s="2">
        <v>50</v>
      </c>
      <c r="B48" s="9">
        <v>5.0568999999999997</v>
      </c>
      <c r="C48" s="9">
        <v>4.3003999999999998</v>
      </c>
      <c r="D48" s="9">
        <f t="shared" ref="D48:D53" si="4">B48-C48</f>
        <v>0.75649999999999995</v>
      </c>
      <c r="E48" s="9">
        <f>D48*1000</f>
        <v>756.5</v>
      </c>
      <c r="F48" s="9">
        <f>(($D$53-D48)/$D$53)*100</f>
        <v>74.58851192475646</v>
      </c>
      <c r="G48" s="9">
        <f>(87.6*E48)/(17.2*125*7.85)</f>
        <v>3.9264938527625532</v>
      </c>
    </row>
    <row r="49" spans="1:7" x14ac:dyDescent="0.3">
      <c r="A49" s="3">
        <v>100</v>
      </c>
      <c r="B49" s="11">
        <v>5.4233000000000002</v>
      </c>
      <c r="C49" s="11">
        <v>4.6950000000000003</v>
      </c>
      <c r="D49" s="9">
        <f t="shared" si="4"/>
        <v>0.72829999999999995</v>
      </c>
      <c r="E49" s="9">
        <f>D49*1000</f>
        <v>728.3</v>
      </c>
      <c r="F49" s="9">
        <f>(($D$53-D49)/$D$53)*100</f>
        <v>75.535774269398729</v>
      </c>
      <c r="G49" s="9">
        <f>(87.6*E49)/(17.2*125*7.85)</f>
        <v>3.7801262035254033</v>
      </c>
    </row>
    <row r="50" spans="1:7" x14ac:dyDescent="0.3">
      <c r="A50" s="3">
        <v>150</v>
      </c>
      <c r="B50" s="11">
        <v>4.9015000000000004</v>
      </c>
      <c r="C50" s="11">
        <v>4.2289000000000003</v>
      </c>
      <c r="D50" s="9">
        <f t="shared" si="4"/>
        <v>0.67260000000000009</v>
      </c>
      <c r="E50" s="9">
        <f>D50*1000</f>
        <v>672.60000000000014</v>
      </c>
      <c r="F50" s="9">
        <f>(($D$53-D50)/$D$53)*100</f>
        <v>77.406785354383601</v>
      </c>
      <c r="G50" s="9">
        <f>(87.6*E50)/(17.2*125*7.85)</f>
        <v>3.4910241445711754</v>
      </c>
    </row>
    <row r="51" spans="1:7" x14ac:dyDescent="0.3">
      <c r="A51" s="3">
        <v>200</v>
      </c>
      <c r="B51" s="11">
        <v>5.1912500000000001</v>
      </c>
      <c r="C51" s="11">
        <v>4.54</v>
      </c>
      <c r="D51" s="9">
        <f t="shared" si="4"/>
        <v>0.65125000000000011</v>
      </c>
      <c r="E51" s="9">
        <f>D51*1000</f>
        <v>651.25000000000011</v>
      </c>
      <c r="F51" s="9">
        <f>(($D$53-D51)/$D$53)*100</f>
        <v>78.123950285522341</v>
      </c>
      <c r="G51" s="9">
        <f>(87.6*E51)/(17.2*125*7.85)</f>
        <v>3.3802103392090066</v>
      </c>
    </row>
    <row r="52" spans="1:7" x14ac:dyDescent="0.3">
      <c r="A52" s="3">
        <v>250</v>
      </c>
      <c r="B52" s="11">
        <v>5.1909999999999998</v>
      </c>
      <c r="C52" s="11">
        <v>4.59</v>
      </c>
      <c r="D52" s="9">
        <f t="shared" si="4"/>
        <v>0.60099999999999998</v>
      </c>
      <c r="E52" s="9">
        <f>D52*1000</f>
        <v>601</v>
      </c>
      <c r="F52" s="9">
        <f>(($D$53-D52)/$D$53)*100</f>
        <v>79.811891165602958</v>
      </c>
      <c r="G52" s="9">
        <f>(87.6*E52)/(17.2*125*7.85)</f>
        <v>3.1193956450896163</v>
      </c>
    </row>
    <row r="53" spans="1:7" ht="14.5" thickBot="1" x14ac:dyDescent="0.35">
      <c r="A53" s="4" t="s">
        <v>3</v>
      </c>
      <c r="B53" s="12">
        <v>4.8879999999999999</v>
      </c>
      <c r="C53" s="12">
        <v>1.911</v>
      </c>
      <c r="D53" s="9">
        <f t="shared" si="4"/>
        <v>2.9769999999999999</v>
      </c>
      <c r="E53" s="9">
        <f>D53*1000</f>
        <v>2977</v>
      </c>
      <c r="F53" s="9">
        <f>(($D$53-D53)/$D$53)*100</f>
        <v>0</v>
      </c>
      <c r="G53" s="9">
        <f>(87.6*E53)/(17.2*125*7.85)</f>
        <v>15.451648644645237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</vt:lpstr>
      <vt:lpstr>Room 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West</dc:creator>
  <cp:lastModifiedBy>Sunny West</cp:lastModifiedBy>
  <dcterms:created xsi:type="dcterms:W3CDTF">2025-11-04T17:21:19Z</dcterms:created>
  <dcterms:modified xsi:type="dcterms:W3CDTF">2025-11-04T20:25:00Z</dcterms:modified>
</cp:coreProperties>
</file>